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/>
  <workbookPr filterPrivacy="1" codeName="ThisWorkbook"/>
  <xr:revisionPtr revIDLastSave="5" documentId="8_{54F3295D-F9D8-4CA9-9FB8-774479811C16}" xr6:coauthVersionLast="47" xr6:coauthVersionMax="47" xr10:uidLastSave="{BB31488D-3C7A-43CE-A2DC-4050816CBE6A}"/>
  <bookViews>
    <workbookView xWindow="28692" yWindow="-108" windowWidth="29016" windowHeight="15696" firstSheet="1" activeTab="1" xr2:uid="{00000000-000D-0000-FFFF-FFFF00000000}"/>
  </bookViews>
  <sheets>
    <sheet name="Menu" sheetId="11" r:id="rId1"/>
    <sheet name="Report Actual" sheetId="10" r:id="rId2"/>
    <sheet name="Lookups" sheetId="12" state="hidden" r:id="rId3"/>
    <sheet name="Report - About" sheetId="1" state="hidden" r:id="rId4"/>
    <sheet name="Report - Facilities" sheetId="2" state="hidden" r:id="rId5"/>
    <sheet name="Report - Period Rating Results" sheetId="3" state="hidden" r:id="rId6"/>
    <sheet name="Report - Financial Highlights" sheetId="4" state="hidden" r:id="rId7"/>
    <sheet name="Report - Model Drivers" sheetId="5" state="hidden" r:id="rId8"/>
    <sheet name="Report - Balance Sheet" sheetId="6" state="hidden" r:id="rId9"/>
    <sheet name="Report - Income Statement" sheetId="7" state="hidden" r:id="rId10"/>
    <sheet name="Report - Financial Ratios" sheetId="8" state="hidden" r:id="rId11"/>
    <sheet name="Report - LGD Summary" sheetId="13" state="hidden" r:id="rId12"/>
    <sheet name="Report - Comments" sheetId="9" state="hidden" r:id="rId13"/>
  </sheets>
  <definedNames>
    <definedName name="_xlnm.Print_Area" localSheetId="1">'Report Actual'!$A1:$H260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10" l="1"/>
  <c r="F7" i="10"/>
  <c r="G7" i="10"/>
  <c r="F41" i="10"/>
  <c r="F37" i="10"/>
  <c r="D37" i="10"/>
  <c r="D45" i="10" s="1"/>
  <c r="B37" i="10"/>
  <c r="B20" i="10"/>
  <c r="A20" i="10"/>
  <c r="D15" i="10"/>
  <c r="C15" i="10"/>
  <c r="B15" i="10"/>
  <c r="C13" i="10"/>
  <c r="B13" i="10"/>
  <c r="A13" i="10"/>
  <c r="C7" i="10"/>
  <c r="B7" i="10"/>
  <c r="A7" i="10"/>
  <c r="A4" i="10"/>
  <c r="A11" i="10" s="1"/>
  <c r="A3" i="10"/>
  <c r="A10" i="10" s="1"/>
  <c r="A2" i="10"/>
  <c r="B44" i="10" l="1"/>
  <c r="B40" i="10"/>
  <c r="A15" i="10"/>
  <c r="B48" i="10"/>
  <c r="B43" i="10"/>
  <c r="D44" i="10"/>
  <c r="F48" i="10"/>
  <c r="F43" i="10"/>
  <c r="F39" i="10"/>
  <c r="F45" i="10"/>
  <c r="B45" i="10"/>
  <c r="B39" i="10"/>
  <c r="F40" i="10"/>
  <c r="B41" i="10"/>
  <c r="D40" i="10"/>
  <c r="D48" i="10"/>
  <c r="D43" i="10"/>
  <c r="D39" i="10"/>
  <c r="F44" i="10"/>
  <c r="D41" i="10"/>
  <c r="D63" i="10" l="1"/>
  <c r="D52" i="10"/>
  <c r="D70" i="10"/>
  <c r="D59" i="10"/>
  <c r="D65" i="10"/>
  <c r="D55" i="10"/>
  <c r="D61" i="10"/>
  <c r="D51" i="10"/>
  <c r="D64" i="10"/>
  <c r="D50" i="10"/>
  <c r="D56" i="10"/>
  <c r="D67" i="10"/>
  <c r="D54" i="10"/>
  <c r="D66" i="10"/>
  <c r="D57" i="10"/>
  <c r="D60" i="10"/>
  <c r="F70" i="10"/>
  <c r="F59" i="10"/>
  <c r="F65" i="10"/>
  <c r="F55" i="10"/>
  <c r="F61" i="10"/>
  <c r="F51" i="10"/>
  <c r="F67" i="10"/>
  <c r="F57" i="10"/>
  <c r="F50" i="10"/>
  <c r="F66" i="10"/>
  <c r="F56" i="10"/>
  <c r="F63" i="10"/>
  <c r="F52" i="10"/>
  <c r="F64" i="10"/>
  <c r="F54" i="10"/>
  <c r="F60" i="10"/>
  <c r="B66" i="10"/>
  <c r="B56" i="10"/>
  <c r="B63" i="10"/>
  <c r="B52" i="10"/>
  <c r="B70" i="10"/>
  <c r="B59" i="10"/>
  <c r="B65" i="10"/>
  <c r="B55" i="10"/>
  <c r="F15" i="10" s="1"/>
  <c r="B57" i="10"/>
  <c r="B64" i="10"/>
  <c r="B50" i="10"/>
  <c r="H15" i="10" s="1"/>
  <c r="B51" i="10"/>
  <c r="G15" i="10" s="1"/>
  <c r="B61" i="10"/>
  <c r="B67" i="10"/>
  <c r="B54" i="10"/>
  <c r="E15" i="10" s="1"/>
  <c r="B60" i="10"/>
  <c r="B86" i="10" l="1"/>
  <c r="B77" i="10"/>
  <c r="B91" i="10"/>
  <c r="B83" i="10"/>
  <c r="B74" i="10"/>
  <c r="B88" i="10"/>
  <c r="B79" i="10"/>
  <c r="B95" i="10"/>
  <c r="B85" i="10"/>
  <c r="B76" i="10"/>
  <c r="B78" i="10"/>
  <c r="B92" i="10"/>
  <c r="B84" i="10"/>
  <c r="B89" i="10"/>
  <c r="B72" i="10"/>
  <c r="B90" i="10"/>
  <c r="B81" i="10"/>
  <c r="B87" i="10"/>
  <c r="B80" i="10"/>
  <c r="B73" i="10"/>
  <c r="B75" i="10"/>
  <c r="D91" i="10"/>
  <c r="D83" i="10"/>
  <c r="D74" i="10"/>
  <c r="D88" i="10"/>
  <c r="D79" i="10"/>
  <c r="D95" i="10"/>
  <c r="D85" i="10"/>
  <c r="D76" i="10"/>
  <c r="D90" i="10"/>
  <c r="D81" i="10"/>
  <c r="D73" i="10"/>
  <c r="D84" i="10"/>
  <c r="D80" i="10"/>
  <c r="D89" i="10"/>
  <c r="D72" i="10"/>
  <c r="D77" i="10"/>
  <c r="D86" i="10"/>
  <c r="D78" i="10"/>
  <c r="D87" i="10"/>
  <c r="D92" i="10"/>
  <c r="D75" i="10"/>
  <c r="F88" i="10"/>
  <c r="F79" i="10"/>
  <c r="F95" i="10"/>
  <c r="F85" i="10"/>
  <c r="F76" i="10"/>
  <c r="F90" i="10"/>
  <c r="F81" i="10"/>
  <c r="F73" i="10"/>
  <c r="F87" i="10"/>
  <c r="F78" i="10"/>
  <c r="F89" i="10"/>
  <c r="F72" i="10"/>
  <c r="F77" i="10"/>
  <c r="F83" i="10"/>
  <c r="F74" i="10"/>
  <c r="F92" i="10"/>
  <c r="F75" i="10"/>
  <c r="F80" i="10"/>
  <c r="F91" i="10"/>
  <c r="F84" i="10"/>
  <c r="F86" i="10"/>
  <c r="F128" i="10" l="1"/>
  <c r="F129" i="10" s="1"/>
  <c r="F115" i="10"/>
  <c r="F184" i="10"/>
  <c r="F132" i="10"/>
  <c r="D184" i="10"/>
  <c r="D132" i="10"/>
  <c r="B184" i="10"/>
  <c r="B132" i="10"/>
  <c r="B216" i="10" l="1"/>
  <c r="B208" i="10"/>
  <c r="B200" i="10"/>
  <c r="B192" i="10"/>
  <c r="B213" i="10"/>
  <c r="B205" i="10"/>
  <c r="B197" i="10"/>
  <c r="B189" i="10"/>
  <c r="B209" i="10"/>
  <c r="B220" i="10"/>
  <c r="B210" i="10"/>
  <c r="B202" i="10"/>
  <c r="B194" i="10"/>
  <c r="B186" i="10"/>
  <c r="B201" i="10"/>
  <c r="B193" i="10"/>
  <c r="B185" i="10"/>
  <c r="B215" i="10"/>
  <c r="B207" i="10"/>
  <c r="B199" i="10"/>
  <c r="B191" i="10"/>
  <c r="B212" i="10"/>
  <c r="B204" i="10"/>
  <c r="B196" i="10"/>
  <c r="B188" i="10"/>
  <c r="B198" i="10"/>
  <c r="B206" i="10"/>
  <c r="B187" i="10"/>
  <c r="B190" i="10"/>
  <c r="B214" i="10"/>
  <c r="B195" i="10"/>
  <c r="B211" i="10"/>
  <c r="B203" i="10"/>
  <c r="D179" i="10"/>
  <c r="D161" i="10"/>
  <c r="D153" i="10"/>
  <c r="D143" i="10"/>
  <c r="D135" i="10"/>
  <c r="D124" i="10"/>
  <c r="D114" i="10"/>
  <c r="D106" i="10"/>
  <c r="D176" i="10"/>
  <c r="D166" i="10"/>
  <c r="D158" i="10"/>
  <c r="D140" i="10"/>
  <c r="D121" i="10"/>
  <c r="D111" i="10"/>
  <c r="D103" i="10"/>
  <c r="D173" i="10"/>
  <c r="D163" i="10"/>
  <c r="D155" i="10"/>
  <c r="D145" i="10"/>
  <c r="D137" i="10"/>
  <c r="D126" i="10"/>
  <c r="D118" i="10"/>
  <c r="D108" i="10"/>
  <c r="D100" i="10"/>
  <c r="D172" i="10"/>
  <c r="D178" i="10"/>
  <c r="D160" i="10"/>
  <c r="D152" i="10"/>
  <c r="D142" i="10"/>
  <c r="D134" i="10"/>
  <c r="D123" i="10"/>
  <c r="D113" i="10"/>
  <c r="D105" i="10"/>
  <c r="D162" i="10"/>
  <c r="D175" i="10"/>
  <c r="D165" i="10"/>
  <c r="D157" i="10"/>
  <c r="D147" i="10"/>
  <c r="D139" i="10"/>
  <c r="D120" i="10"/>
  <c r="D110" i="10"/>
  <c r="D102" i="10"/>
  <c r="D164" i="10"/>
  <c r="D156" i="10"/>
  <c r="D122" i="10"/>
  <c r="D174" i="10"/>
  <c r="D154" i="10"/>
  <c r="D146" i="10"/>
  <c r="D112" i="10"/>
  <c r="D144" i="10"/>
  <c r="D138" i="10"/>
  <c r="D104" i="10"/>
  <c r="D98" i="10"/>
  <c r="D141" i="10"/>
  <c r="D107" i="10"/>
  <c r="D101" i="10"/>
  <c r="D99" i="10"/>
  <c r="D136" i="10"/>
  <c r="D127" i="10"/>
  <c r="D167" i="10"/>
  <c r="D159" i="10"/>
  <c r="D125" i="10"/>
  <c r="D119" i="10"/>
  <c r="D151" i="10"/>
  <c r="D109" i="10"/>
  <c r="D177" i="10"/>
  <c r="F176" i="10"/>
  <c r="F166" i="10"/>
  <c r="F158" i="10"/>
  <c r="F148" i="10"/>
  <c r="F140" i="10"/>
  <c r="F121" i="10"/>
  <c r="F111" i="10"/>
  <c r="F103" i="10"/>
  <c r="F173" i="10"/>
  <c r="F163" i="10"/>
  <c r="F155" i="10"/>
  <c r="F145" i="10"/>
  <c r="F137" i="10"/>
  <c r="F126" i="10"/>
  <c r="F118" i="10"/>
  <c r="F108" i="10"/>
  <c r="F100" i="10"/>
  <c r="F178" i="10"/>
  <c r="F168" i="10"/>
  <c r="F160" i="10"/>
  <c r="F152" i="10"/>
  <c r="F142" i="10"/>
  <c r="F134" i="10"/>
  <c r="F123" i="10"/>
  <c r="F113" i="10"/>
  <c r="F105" i="10"/>
  <c r="F177" i="10"/>
  <c r="F167" i="10"/>
  <c r="F175" i="10"/>
  <c r="F165" i="10"/>
  <c r="F157" i="10"/>
  <c r="F147" i="10"/>
  <c r="F139" i="10"/>
  <c r="F120" i="10"/>
  <c r="F110" i="10"/>
  <c r="F102" i="10"/>
  <c r="F180" i="10"/>
  <c r="F172" i="10"/>
  <c r="F162" i="10"/>
  <c r="F154" i="10"/>
  <c r="F144" i="10"/>
  <c r="F136" i="10"/>
  <c r="F125" i="10"/>
  <c r="F107" i="10"/>
  <c r="F99" i="10"/>
  <c r="F174" i="10"/>
  <c r="F146" i="10"/>
  <c r="F112" i="10"/>
  <c r="F106" i="10"/>
  <c r="F138" i="10"/>
  <c r="F104" i="10"/>
  <c r="F98" i="10"/>
  <c r="F161" i="10"/>
  <c r="F127" i="10"/>
  <c r="F164" i="10"/>
  <c r="F114" i="10"/>
  <c r="F159" i="10"/>
  <c r="F153" i="10"/>
  <c r="F119" i="10"/>
  <c r="F151" i="10"/>
  <c r="F143" i="10"/>
  <c r="F109" i="10"/>
  <c r="F124" i="10"/>
  <c r="F156" i="10"/>
  <c r="F122" i="10"/>
  <c r="F179" i="10"/>
  <c r="F141" i="10"/>
  <c r="F135" i="10"/>
  <c r="F101" i="10"/>
  <c r="F220" i="10"/>
  <c r="F210" i="10"/>
  <c r="F202" i="10"/>
  <c r="F194" i="10"/>
  <c r="F186" i="10"/>
  <c r="F215" i="10"/>
  <c r="F207" i="10"/>
  <c r="F199" i="10"/>
  <c r="F191" i="10"/>
  <c r="F211" i="10"/>
  <c r="F212" i="10"/>
  <c r="F204" i="10"/>
  <c r="F196" i="10"/>
  <c r="F188" i="10"/>
  <c r="F195" i="10"/>
  <c r="F187" i="10"/>
  <c r="F217" i="10"/>
  <c r="F209" i="10"/>
  <c r="F201" i="10"/>
  <c r="F193" i="10"/>
  <c r="F185" i="10"/>
  <c r="F214" i="10"/>
  <c r="F206" i="10"/>
  <c r="F198" i="10"/>
  <c r="F190" i="10"/>
  <c r="F216" i="10"/>
  <c r="F197" i="10"/>
  <c r="F205" i="10"/>
  <c r="F203" i="10"/>
  <c r="F213" i="10"/>
  <c r="F192" i="10"/>
  <c r="F208" i="10"/>
  <c r="F189" i="10"/>
  <c r="F200" i="10"/>
  <c r="B174" i="10"/>
  <c r="B164" i="10"/>
  <c r="B156" i="10"/>
  <c r="B146" i="10"/>
  <c r="B138" i="10"/>
  <c r="B127" i="10"/>
  <c r="B119" i="10"/>
  <c r="B109" i="10"/>
  <c r="B101" i="10"/>
  <c r="B179" i="10"/>
  <c r="B161" i="10"/>
  <c r="B153" i="10"/>
  <c r="B143" i="10"/>
  <c r="B135" i="10"/>
  <c r="B124" i="10"/>
  <c r="B114" i="10"/>
  <c r="B106" i="10"/>
  <c r="B98" i="10"/>
  <c r="B176" i="10"/>
  <c r="B166" i="10"/>
  <c r="B158" i="10"/>
  <c r="B140" i="10"/>
  <c r="B121" i="10"/>
  <c r="B111" i="10"/>
  <c r="B103" i="10"/>
  <c r="B173" i="10"/>
  <c r="B163" i="10"/>
  <c r="B155" i="10"/>
  <c r="B145" i="10"/>
  <c r="B137" i="10"/>
  <c r="B126" i="10"/>
  <c r="B118" i="10"/>
  <c r="B108" i="10"/>
  <c r="B100" i="10"/>
  <c r="B175" i="10"/>
  <c r="B178" i="10"/>
  <c r="B160" i="10"/>
  <c r="B152" i="10"/>
  <c r="B142" i="10"/>
  <c r="B134" i="10"/>
  <c r="B123" i="10"/>
  <c r="B113" i="10"/>
  <c r="B105" i="10"/>
  <c r="B139" i="10"/>
  <c r="B99" i="10"/>
  <c r="B162" i="10"/>
  <c r="B122" i="10"/>
  <c r="B172" i="10"/>
  <c r="B154" i="10"/>
  <c r="B120" i="10"/>
  <c r="B112" i="10"/>
  <c r="B177" i="10"/>
  <c r="B141" i="10"/>
  <c r="B144" i="10"/>
  <c r="B110" i="10"/>
  <c r="B104" i="10"/>
  <c r="B136" i="10"/>
  <c r="B102" i="10"/>
  <c r="B157" i="10"/>
  <c r="B147" i="10"/>
  <c r="B107" i="10"/>
  <c r="B167" i="10"/>
  <c r="B159" i="10"/>
  <c r="B125" i="10"/>
  <c r="B165" i="10"/>
  <c r="B151" i="10"/>
  <c r="D213" i="10"/>
  <c r="D205" i="10"/>
  <c r="D197" i="10"/>
  <c r="D189" i="10"/>
  <c r="D220" i="10"/>
  <c r="D210" i="10"/>
  <c r="D202" i="10"/>
  <c r="D194" i="10"/>
  <c r="D186" i="10"/>
  <c r="D215" i="10"/>
  <c r="D207" i="10"/>
  <c r="D199" i="10"/>
  <c r="D191" i="10"/>
  <c r="D214" i="10"/>
  <c r="D206" i="10"/>
  <c r="D198" i="10"/>
  <c r="D190" i="10"/>
  <c r="D212" i="10"/>
  <c r="D204" i="10"/>
  <c r="D196" i="10"/>
  <c r="D188" i="10"/>
  <c r="D209" i="10"/>
  <c r="D201" i="10"/>
  <c r="D193" i="10"/>
  <c r="D185" i="10"/>
  <c r="D208" i="10"/>
  <c r="D187" i="10"/>
  <c r="D216" i="10"/>
  <c r="D195" i="10"/>
  <c r="D200" i="10"/>
  <c r="D203" i="10"/>
  <c r="D211" i="10"/>
  <c r="D192" i="10"/>
  <c r="D254" i="10" l="1"/>
  <c r="D245" i="10"/>
  <c r="D235" i="10"/>
  <c r="D224" i="10"/>
  <c r="D260" i="10"/>
  <c r="D251" i="10"/>
  <c r="D241" i="10"/>
  <c r="D231" i="10"/>
  <c r="D255" i="10"/>
  <c r="D246" i="10"/>
  <c r="D236" i="10"/>
  <c r="D226" i="10"/>
  <c r="D256" i="10"/>
  <c r="D247" i="10"/>
  <c r="D237" i="10"/>
  <c r="D227" i="10"/>
  <c r="D253" i="10"/>
  <c r="D243" i="10"/>
  <c r="D234" i="10"/>
  <c r="D223" i="10"/>
  <c r="D259" i="10"/>
  <c r="D249" i="10"/>
  <c r="D240" i="10"/>
  <c r="D230" i="10"/>
  <c r="D261" i="10"/>
  <c r="D248" i="10"/>
  <c r="D232" i="10"/>
  <c r="D258" i="10"/>
  <c r="D222" i="10"/>
  <c r="D242" i="10"/>
  <c r="D228" i="10"/>
  <c r="D252" i="10"/>
  <c r="D239" i="10"/>
  <c r="D115" i="10"/>
  <c r="B217" i="10"/>
  <c r="B168" i="10"/>
  <c r="B169" i="10" s="1"/>
  <c r="D148" i="10"/>
  <c r="D217" i="10"/>
  <c r="B115" i="10"/>
  <c r="D128" i="10"/>
  <c r="F169" i="10"/>
  <c r="F181" i="10" s="1"/>
  <c r="B180" i="10"/>
  <c r="B148" i="10"/>
  <c r="B128" i="10"/>
  <c r="D180" i="10"/>
  <c r="B261" i="10"/>
  <c r="B258" i="10"/>
  <c r="B248" i="10"/>
  <c r="B239" i="10"/>
  <c r="B228" i="10"/>
  <c r="B254" i="10"/>
  <c r="B245" i="10"/>
  <c r="B235" i="10"/>
  <c r="B224" i="10"/>
  <c r="B249" i="10"/>
  <c r="B240" i="10"/>
  <c r="B230" i="10"/>
  <c r="B260" i="10"/>
  <c r="B251" i="10"/>
  <c r="B241" i="10"/>
  <c r="B231" i="10"/>
  <c r="B259" i="10"/>
  <c r="B256" i="10"/>
  <c r="B247" i="10"/>
  <c r="B237" i="10"/>
  <c r="B227" i="10"/>
  <c r="B253" i="10"/>
  <c r="B243" i="10"/>
  <c r="B234" i="10"/>
  <c r="B223" i="10"/>
  <c r="B222" i="10"/>
  <c r="B246" i="10"/>
  <c r="B232" i="10"/>
  <c r="B255" i="10"/>
  <c r="B242" i="10"/>
  <c r="B236" i="10"/>
  <c r="B226" i="10"/>
  <c r="B252" i="10"/>
  <c r="F260" i="10"/>
  <c r="F251" i="10"/>
  <c r="F241" i="10"/>
  <c r="F231" i="10"/>
  <c r="F256" i="10"/>
  <c r="F247" i="10"/>
  <c r="F237" i="10"/>
  <c r="F227" i="10"/>
  <c r="F261" i="10"/>
  <c r="F252" i="10"/>
  <c r="F242" i="10"/>
  <c r="F232" i="10"/>
  <c r="F222" i="10"/>
  <c r="F253" i="10"/>
  <c r="F243" i="10"/>
  <c r="F234" i="10"/>
  <c r="F223" i="10"/>
  <c r="F259" i="10"/>
  <c r="F249" i="10"/>
  <c r="F240" i="10"/>
  <c r="F230" i="10"/>
  <c r="F255" i="10"/>
  <c r="F246" i="10"/>
  <c r="F236" i="10"/>
  <c r="F226" i="10"/>
  <c r="F235" i="10"/>
  <c r="F258" i="10"/>
  <c r="F245" i="10"/>
  <c r="F248" i="10"/>
  <c r="F228" i="10"/>
  <c r="F254" i="10"/>
  <c r="F239" i="10"/>
  <c r="F224" i="10"/>
  <c r="D168" i="10"/>
  <c r="B181" i="10" l="1"/>
  <c r="B129" i="10"/>
  <c r="D169" i="10"/>
  <c r="D181" i="10" s="1"/>
  <c r="D129" i="10"/>
</calcChain>
</file>

<file path=xl/sharedStrings.xml><?xml version="1.0" encoding="utf-8"?>
<sst xmlns="http://schemas.openxmlformats.org/spreadsheetml/2006/main" count="1256" uniqueCount="470">
  <si>
    <t>Type</t>
  </si>
  <si>
    <t>Run date</t>
  </si>
  <si>
    <t>Report name</t>
  </si>
  <si>
    <t>Financial period</t>
  </si>
  <si>
    <t>Status</t>
  </si>
  <si>
    <t>LGD</t>
  </si>
  <si>
    <t>Rating</t>
  </si>
  <si>
    <t>Debt Seniority</t>
  </si>
  <si>
    <t>Capital Structure</t>
  </si>
  <si>
    <t>Company Type</t>
  </si>
  <si>
    <t>Latest period</t>
  </si>
  <si>
    <t>Publish Date</t>
  </si>
  <si>
    <t>Currency</t>
  </si>
  <si>
    <t>Multiplier</t>
  </si>
  <si>
    <t>Revenue</t>
  </si>
  <si>
    <t>EBITDA</t>
  </si>
  <si>
    <t>Total Equity</t>
  </si>
  <si>
    <t>Total Assets</t>
  </si>
  <si>
    <t>Risk Highlights</t>
  </si>
  <si>
    <t>From</t>
  </si>
  <si>
    <t>To</t>
  </si>
  <si>
    <t>Facility Information</t>
  </si>
  <si>
    <t>NEW FACILITIES</t>
  </si>
  <si>
    <t>Account Number</t>
  </si>
  <si>
    <t>Outstanding Balance</t>
  </si>
  <si>
    <t>Maturity</t>
  </si>
  <si>
    <t>Interest Rate</t>
  </si>
  <si>
    <t>RAROC</t>
  </si>
  <si>
    <t>EXISTING FACILITIES</t>
  </si>
  <si>
    <t>Rating Results</t>
  </si>
  <si>
    <t>PERIOD</t>
  </si>
  <si>
    <t>RATINGS</t>
  </si>
  <si>
    <t>Final Risk Grade</t>
  </si>
  <si>
    <t>MODEL OUTCOMES</t>
  </si>
  <si>
    <t>Financial Highlights</t>
  </si>
  <si>
    <t>BALANCE SHEET</t>
  </si>
  <si>
    <t>|</t>
  </si>
  <si>
    <t>Total Debt</t>
  </si>
  <si>
    <t>INCOME STATEMENT</t>
  </si>
  <si>
    <t>INTEREST PAID</t>
  </si>
  <si>
    <t>CASH FLOW STATEMENT</t>
  </si>
  <si>
    <t>Net cash from operating activities</t>
  </si>
  <si>
    <t>Net cash from investing activities</t>
  </si>
  <si>
    <t>Net cash from financing activities</t>
  </si>
  <si>
    <t>FINANCIAL RATIOS</t>
  </si>
  <si>
    <t>Total assets | Total liabilities</t>
  </si>
  <si>
    <t>Revenue | Total assets</t>
  </si>
  <si>
    <t>EBITDA | Revenue</t>
  </si>
  <si>
    <t xml:space="preserve">Debt | EBITDA </t>
  </si>
  <si>
    <t>Return on investment capital</t>
  </si>
  <si>
    <t>Model drivers</t>
  </si>
  <si>
    <t>RATIOS</t>
  </si>
  <si>
    <t>Cash to Total Assets</t>
  </si>
  <si>
    <t>Current Assets to liabilities</t>
  </si>
  <si>
    <t>Inventory / COGS</t>
  </si>
  <si>
    <t>Net income to assets</t>
  </si>
  <si>
    <t>Previous net income to assets</t>
  </si>
  <si>
    <t>Real assets</t>
  </si>
  <si>
    <t>Cash flow to financial charges</t>
  </si>
  <si>
    <t>Current liabilities and LTD to assets</t>
  </si>
  <si>
    <t>Sales growth</t>
  </si>
  <si>
    <t>Change in AR to net sales</t>
  </si>
  <si>
    <t>DRIVERS</t>
  </si>
  <si>
    <t>Balance sheet</t>
  </si>
  <si>
    <t>ASSETS</t>
  </si>
  <si>
    <t>NON-CURRENT ASSETS</t>
  </si>
  <si>
    <t>Forex and financial instrument losses</t>
  </si>
  <si>
    <t>Financial assets</t>
  </si>
  <si>
    <t>Property, Plant and Equipment</t>
  </si>
  <si>
    <t>Leased Assets</t>
  </si>
  <si>
    <t>Other fixed assets</t>
  </si>
  <si>
    <t>Accumulated depreciation</t>
  </si>
  <si>
    <t>Intangibles goodwill</t>
  </si>
  <si>
    <t>Intangibles other</t>
  </si>
  <si>
    <t>Accumulated amortisation</t>
  </si>
  <si>
    <t>Long term trade debtors</t>
  </si>
  <si>
    <t>Long term other debtors</t>
  </si>
  <si>
    <t>Long term investments</t>
  </si>
  <si>
    <t>Investment in group and related companies</t>
  </si>
  <si>
    <t>Loans to group and related companies &gt; 1 year</t>
  </si>
  <si>
    <t>Other operating non-current assets</t>
  </si>
  <si>
    <t>Other non-operating non-current assets</t>
  </si>
  <si>
    <t>Fixed and non-current assets</t>
  </si>
  <si>
    <t>CURRENT ASSETS</t>
  </si>
  <si>
    <t>Cash</t>
  </si>
  <si>
    <t>Marketable Investments</t>
  </si>
  <si>
    <t>Trade debtors</t>
  </si>
  <si>
    <t>Inventory</t>
  </si>
  <si>
    <t>Due from group and related companies &lt; 1 year</t>
  </si>
  <si>
    <t>Other debtors</t>
  </si>
  <si>
    <t>Tax recoverable</t>
  </si>
  <si>
    <t>Prepayments</t>
  </si>
  <si>
    <t>Other operating current assets</t>
  </si>
  <si>
    <t>Other non-operating current assets</t>
  </si>
  <si>
    <t>Current assets</t>
  </si>
  <si>
    <t>LIABILITIES</t>
  </si>
  <si>
    <t>Loans from group and related companies &gt; 1 year</t>
  </si>
  <si>
    <t>Interest bearing loans &gt; 1 year secured</t>
  </si>
  <si>
    <t>Non-interest bearing loans &gt; 1 year secured</t>
  </si>
  <si>
    <t>Interest bearing loans &gt; 1 year unsecured</t>
  </si>
  <si>
    <t>Non-interest bearing loans &gt; 1 year unsecured</t>
  </si>
  <si>
    <t>Financial liabilities</t>
  </si>
  <si>
    <t>Long term trade creditors</t>
  </si>
  <si>
    <t>Long term provisions</t>
  </si>
  <si>
    <t>Directors loans &gt; 1 year</t>
  </si>
  <si>
    <t>Sub ordinate debt</t>
  </si>
  <si>
    <t>Deferred tax</t>
  </si>
  <si>
    <t>Minority interest</t>
  </si>
  <si>
    <t>Other operating non-current liabilities</t>
  </si>
  <si>
    <t>Other non-operating non-current liabilities</t>
  </si>
  <si>
    <t>Non-current liabilities</t>
  </si>
  <si>
    <t>CURRENT LIABILITIES</t>
  </si>
  <si>
    <t>Group loans &lt; 1 year</t>
  </si>
  <si>
    <t>Debentures interest bearing</t>
  </si>
  <si>
    <t>Debentures non-interest bearing</t>
  </si>
  <si>
    <t>Compulsory convertible debentures</t>
  </si>
  <si>
    <t>Overdrafts</t>
  </si>
  <si>
    <t>Trade creditors</t>
  </si>
  <si>
    <t>Interest bearing loans &lt; 1 year secured</t>
  </si>
  <si>
    <t>Non-interest bearing loans &lt; 1 year secured</t>
  </si>
  <si>
    <t>Interest bearing loans &lt; 1 year unsecured</t>
  </si>
  <si>
    <t>Non-interest bearing loans &lt; 1 year unsecured</t>
  </si>
  <si>
    <t>Directors loans &lt; 1 year</t>
  </si>
  <si>
    <t>Dividends payable</t>
  </si>
  <si>
    <t>Accruals</t>
  </si>
  <si>
    <t>Tax payable</t>
  </si>
  <si>
    <t>Other creditors</t>
  </si>
  <si>
    <t>Other operating current liabilities</t>
  </si>
  <si>
    <t>Other non-operating current liabilities</t>
  </si>
  <si>
    <t>Current liabilities</t>
  </si>
  <si>
    <t>Total Liabilities</t>
  </si>
  <si>
    <t>EQUITY</t>
  </si>
  <si>
    <t>Ordinary shares</t>
  </si>
  <si>
    <t>Preference shares</t>
  </si>
  <si>
    <t>Share premium account</t>
  </si>
  <si>
    <t>Retained earnings</t>
  </si>
  <si>
    <t>Revaluation reserve</t>
  </si>
  <si>
    <t>Other reserves</t>
  </si>
  <si>
    <t>Capital redemption reserve</t>
  </si>
  <si>
    <t>`</t>
  </si>
  <si>
    <t>Treasury stock</t>
  </si>
  <si>
    <t>Equity</t>
  </si>
  <si>
    <t>Equity and liabilities</t>
  </si>
  <si>
    <t>Income Statement</t>
  </si>
  <si>
    <t>Turnover</t>
  </si>
  <si>
    <t>Cost of goods sold</t>
  </si>
  <si>
    <t>GROSS PROFIT</t>
  </si>
  <si>
    <t>Other operating income</t>
  </si>
  <si>
    <t>OPERATING INCOME</t>
  </si>
  <si>
    <t>Operating expenditure</t>
  </si>
  <si>
    <t>Salaries and wages</t>
  </si>
  <si>
    <t>Administrative expenses</t>
  </si>
  <si>
    <t>Research and development</t>
  </si>
  <si>
    <t>Other operating expenses</t>
  </si>
  <si>
    <t>Directors remuneration</t>
  </si>
  <si>
    <t>Bad debt expenses</t>
  </si>
  <si>
    <t>Operating lease expenses</t>
  </si>
  <si>
    <t>Depreciation</t>
  </si>
  <si>
    <t>Amortisation</t>
  </si>
  <si>
    <t>Gain  / loss on disposal</t>
  </si>
  <si>
    <t>NET INCOME BEFORE EXCEPTIONAL GAINS/LOSSES</t>
  </si>
  <si>
    <t>Exceptional gains / losses</t>
  </si>
  <si>
    <t>Interest received</t>
  </si>
  <si>
    <t>Income / expenses from investments</t>
  </si>
  <si>
    <t>NET INCOME BEFORE INTEREST AND TAX(EBIT)</t>
  </si>
  <si>
    <t>Interest paid</t>
  </si>
  <si>
    <t>Deferred Interest</t>
  </si>
  <si>
    <t>Capitalised interest</t>
  </si>
  <si>
    <t>NET INCOME BEFORE TAX</t>
  </si>
  <si>
    <t>Current taxation</t>
  </si>
  <si>
    <t>Deferred taxation</t>
  </si>
  <si>
    <t>NET INCOME AFTER TAX</t>
  </si>
  <si>
    <t>Extraordinary items</t>
  </si>
  <si>
    <t>Dividends ordinary shares</t>
  </si>
  <si>
    <t>Dividends preference share</t>
  </si>
  <si>
    <t>PROFIT / LOSS</t>
  </si>
  <si>
    <t>Financial ratios</t>
  </si>
  <si>
    <t>INVENTORY DAYS</t>
  </si>
  <si>
    <t>Cos/Day</t>
  </si>
  <si>
    <t>AVG Inventory</t>
  </si>
  <si>
    <t>Inventory days</t>
  </si>
  <si>
    <t>RECEIVABLES DAYS</t>
  </si>
  <si>
    <t>Sales/Day</t>
  </si>
  <si>
    <t>AVG Accounts Receivables</t>
  </si>
  <si>
    <t>Receivables days</t>
  </si>
  <si>
    <t>PAYABLES DAYS</t>
  </si>
  <si>
    <t>AVG Accounts Payables</t>
  </si>
  <si>
    <t>Payables days</t>
  </si>
  <si>
    <t>EARNINGS TRENDS</t>
  </si>
  <si>
    <t>Turnover growth rate</t>
  </si>
  <si>
    <t>Gross profit trend</t>
  </si>
  <si>
    <t>Operating expenses / turnover</t>
  </si>
  <si>
    <t>EBITDA trend</t>
  </si>
  <si>
    <t>PROFITABILITTY</t>
  </si>
  <si>
    <t>Gross profit margin (%)</t>
  </si>
  <si>
    <t>Net profit margin (%)</t>
  </si>
  <si>
    <t>EBITDA margin (%)</t>
  </si>
  <si>
    <t>ROCE (AVG)</t>
  </si>
  <si>
    <t>ROE (AVG)</t>
  </si>
  <si>
    <t>FINANCIAL LEVERAGE</t>
  </si>
  <si>
    <t>Debt to equity ratio</t>
  </si>
  <si>
    <t>Gearing (D/TA)</t>
  </si>
  <si>
    <t>Interest cover (Times)</t>
  </si>
  <si>
    <t>Debt Cover</t>
  </si>
  <si>
    <t>Degree of financial leverage (DFL)</t>
  </si>
  <si>
    <t>LIQUIDITY</t>
  </si>
  <si>
    <t>Current ratio (Times)</t>
  </si>
  <si>
    <t>Quick ratio (Times)</t>
  </si>
  <si>
    <t>Cash conversion cycle days</t>
  </si>
  <si>
    <t>SOLVENCY</t>
  </si>
  <si>
    <t>(Current assets - current liabilities) / Total assets</t>
  </si>
  <si>
    <t>Retained earnings / Total assets</t>
  </si>
  <si>
    <t>Earnings before interest and tax / Total assets</t>
  </si>
  <si>
    <t>Book value of equity / Total liabilities</t>
  </si>
  <si>
    <t>Instructions</t>
  </si>
  <si>
    <t>1. Click the "Apply Formatting" button above to choose a template file.</t>
  </si>
  <si>
    <t>2. A dialog will appear for you to select the template file.</t>
  </si>
  <si>
    <t>3. Once complete, the macro will prompt you, and the formatting from the template file will be applied to this workbook.</t>
  </si>
  <si>
    <t>PD</t>
  </si>
  <si>
    <t>Model Risk Grade</t>
  </si>
  <si>
    <t>Model PD</t>
  </si>
  <si>
    <t>Model LGD</t>
  </si>
  <si>
    <t>total_assets</t>
  </si>
  <si>
    <t>total_equity</t>
  </si>
  <si>
    <t>total_debt</t>
  </si>
  <si>
    <t>revenue</t>
  </si>
  <si>
    <t>ebitda</t>
  </si>
  <si>
    <t>earnings_before_income_tax</t>
  </si>
  <si>
    <t>interest_paid</t>
  </si>
  <si>
    <t>net_cash_from_operating_activities</t>
  </si>
  <si>
    <t>net_cash_from_investing_activities</t>
  </si>
  <si>
    <t>net_cash_from_financing_activities</t>
  </si>
  <si>
    <t>ratio_total_assets_to_liabilities</t>
  </si>
  <si>
    <t>ratio_revenue_total_assets</t>
  </si>
  <si>
    <t>ratio_ebitda_to_revenue</t>
  </si>
  <si>
    <t>ratio_debt_to_ebitda</t>
  </si>
  <si>
    <t>ratio_return_on_investment_capital</t>
  </si>
  <si>
    <t>ratio_cash_to_total_assets</t>
  </si>
  <si>
    <t>percentile_cash_to_total_assets</t>
  </si>
  <si>
    <t>ratio_current_assets_to_current_liabilities</t>
  </si>
  <si>
    <t>percentile_current_assets_to_current_liabilities</t>
  </si>
  <si>
    <t>ratio_inventory_to_sales</t>
  </si>
  <si>
    <t>percentile_inventory_to_sales</t>
  </si>
  <si>
    <t>ratio_return_on_assets</t>
  </si>
  <si>
    <t>percentile_return_on_assets</t>
  </si>
  <si>
    <t>ratio_previous_return_on_assets</t>
  </si>
  <si>
    <t>percentile_previous_return_on_assets</t>
  </si>
  <si>
    <t>ratio_real_assets</t>
  </si>
  <si>
    <t>percentile_real_assets</t>
  </si>
  <si>
    <t>ratio_cash_flow_to_interest</t>
  </si>
  <si>
    <t>percentile_cash_flow_to_interest</t>
  </si>
  <si>
    <t>ratio_liabilities_to_assets</t>
  </si>
  <si>
    <t>percentile_liabilities_to_assets</t>
  </si>
  <si>
    <t>ratio_sales_growth</t>
  </si>
  <si>
    <t>percentile_sales_growth</t>
  </si>
  <si>
    <t>ratio_change_AR_to_net_sales</t>
  </si>
  <si>
    <t>percentile_change_AR_to_net_sales</t>
  </si>
  <si>
    <t>forex_financial_instrument_losses</t>
  </si>
  <si>
    <t>financial_assets</t>
  </si>
  <si>
    <t>property_plant_and_equipment</t>
  </si>
  <si>
    <t>leased_assets</t>
  </si>
  <si>
    <t>other_fixed_assets</t>
  </si>
  <si>
    <t>accumulated_depreciation</t>
  </si>
  <si>
    <t>intangibles_goodwill</t>
  </si>
  <si>
    <t>intangibles_other</t>
  </si>
  <si>
    <t>accumulated_amortisation</t>
  </si>
  <si>
    <t>long_term_trade_debtors</t>
  </si>
  <si>
    <t>long_term_other_debtors</t>
  </si>
  <si>
    <t>long_term_investments</t>
  </si>
  <si>
    <t>investment_in_group_and_related_companies</t>
  </si>
  <si>
    <t>loans_to_group_and_related_companies_more_than_1_year</t>
  </si>
  <si>
    <t>other_operating_non_current_assets</t>
  </si>
  <si>
    <t>other_non_operating_non_current_assets</t>
  </si>
  <si>
    <t>fixed_and_non_current_assets</t>
  </si>
  <si>
    <t>cash</t>
  </si>
  <si>
    <t>marketable_investments</t>
  </si>
  <si>
    <t>trade_debtors</t>
  </si>
  <si>
    <t>inventory</t>
  </si>
  <si>
    <t>due_from_group_and_related_companies_less_than_1_year</t>
  </si>
  <si>
    <t>other_debtors</t>
  </si>
  <si>
    <t>tax_recoverable</t>
  </si>
  <si>
    <t>prepayments</t>
  </si>
  <si>
    <t>other_operating_current_assets</t>
  </si>
  <si>
    <t>other_non_operating_current_assets</t>
  </si>
  <si>
    <t>current_assets</t>
  </si>
  <si>
    <t>loans_from_group_and_related_companies_more_than_1_year_interest_bearing</t>
  </si>
  <si>
    <t>interest_bearing_loans_more_than_1_year_secured</t>
  </si>
  <si>
    <t>non_interest_bearing_loans_more_than_1_year_secured</t>
  </si>
  <si>
    <t>interest_bearing_loans_more_than_1_year_unsecured</t>
  </si>
  <si>
    <t>non_interest_bearing_loans_more_than_1_year_unsecured</t>
  </si>
  <si>
    <t>financial_liabilities</t>
  </si>
  <si>
    <t>long_term_trade_creditors</t>
  </si>
  <si>
    <t>long_term_provisions</t>
  </si>
  <si>
    <t>directors_loans_more_than_1_year</t>
  </si>
  <si>
    <t>subordinated_debt</t>
  </si>
  <si>
    <t>deferred_tax</t>
  </si>
  <si>
    <t>minority_interest_balance</t>
  </si>
  <si>
    <t>other_operating_non_current_liabilities</t>
  </si>
  <si>
    <t>other_non_operating_non_current_liabilities</t>
  </si>
  <si>
    <t>non_current_liabilities</t>
  </si>
  <si>
    <t>group_loans_less_than_1_year</t>
  </si>
  <si>
    <t>overdrafts</t>
  </si>
  <si>
    <t>trade_creditors</t>
  </si>
  <si>
    <t>interest_bearing_loans_less_than_1_year_secured</t>
  </si>
  <si>
    <t>non_interest_bearing_loans_less_than_1_year_secured</t>
  </si>
  <si>
    <t>interest_bearing_loans_less_than_1_year_unsecured</t>
  </si>
  <si>
    <t>non_interest_bearing_loans_less_than_1_year_unsecured</t>
  </si>
  <si>
    <t>directors_loans_less_than_1_year</t>
  </si>
  <si>
    <t>dividends_payable</t>
  </si>
  <si>
    <t>accruals</t>
  </si>
  <si>
    <t>tax_payable</t>
  </si>
  <si>
    <t>other_creditors</t>
  </si>
  <si>
    <t>other_operating_current_liabilities</t>
  </si>
  <si>
    <t>other_non_operating_current_liabilities</t>
  </si>
  <si>
    <t>current_liabilities</t>
  </si>
  <si>
    <t>total_liabilities</t>
  </si>
  <si>
    <t>debentures_interest_bearing</t>
  </si>
  <si>
    <t>debentures_non_interest_bearing</t>
  </si>
  <si>
    <t>compulsory_convertible_debentures</t>
  </si>
  <si>
    <t>ordinary_shares</t>
  </si>
  <si>
    <t>preference_shares</t>
  </si>
  <si>
    <t>share_premium_account</t>
  </si>
  <si>
    <t>retained_earnings</t>
  </si>
  <si>
    <t>revaluation_reserves</t>
  </si>
  <si>
    <t>other_reserves</t>
  </si>
  <si>
    <t>capital_redemption_reserve</t>
  </si>
  <si>
    <t>treasury_stock</t>
  </si>
  <si>
    <t>equity</t>
  </si>
  <si>
    <t>equity_and_liabilities</t>
  </si>
  <si>
    <t>turnover</t>
  </si>
  <si>
    <t>cost_of_goods_sold</t>
  </si>
  <si>
    <t>gross_profit</t>
  </si>
  <si>
    <t>other_operating_income</t>
  </si>
  <si>
    <t>operating_income</t>
  </si>
  <si>
    <t>operating_expenditure</t>
  </si>
  <si>
    <t>salaries_and_wages</t>
  </si>
  <si>
    <t>administrative_expenses</t>
  </si>
  <si>
    <t>research_and_development</t>
  </si>
  <si>
    <t>other_operating_expenses</t>
  </si>
  <si>
    <t>directors_remuneration</t>
  </si>
  <si>
    <t>bad_debt_expenses</t>
  </si>
  <si>
    <t>operating_lease_expenses</t>
  </si>
  <si>
    <t>depreciation</t>
  </si>
  <si>
    <t>amortisation</t>
  </si>
  <si>
    <t>gain_loss_on_disposals</t>
  </si>
  <si>
    <t>net_income_before_exceptional_gains_losses</t>
  </si>
  <si>
    <t>exceptional_gains_losses</t>
  </si>
  <si>
    <t>earnings_before_interest_and_tax</t>
  </si>
  <si>
    <t>deferred_interest</t>
  </si>
  <si>
    <t>capitalised_interest</t>
  </si>
  <si>
    <t>net_income_before_tax</t>
  </si>
  <si>
    <t>current_taxation</t>
  </si>
  <si>
    <t>deferred_taxation</t>
  </si>
  <si>
    <t>net_income_after_tax</t>
  </si>
  <si>
    <t>minority_interest_income</t>
  </si>
  <si>
    <t>extraordinary_items</t>
  </si>
  <si>
    <t>dividends_ordinary_shares</t>
  </si>
  <si>
    <t>dividends_preference_shares</t>
  </si>
  <si>
    <t>profit_loss</t>
  </si>
  <si>
    <t>ratio_EBITDA_to_interest_expense</t>
  </si>
  <si>
    <t>interest_expense</t>
  </si>
  <si>
    <t>rental</t>
  </si>
  <si>
    <t>ratio_total_interest_to_rental_service</t>
  </si>
  <si>
    <t>ratio_interest_to_rental_service_cover</t>
  </si>
  <si>
    <t>value_imported</t>
  </si>
  <si>
    <t>ratio_deal_amount_to_total_assets</t>
  </si>
  <si>
    <t>ratio_annual_rental_to_net_income</t>
  </si>
  <si>
    <t>inventory_days_cos_per_day</t>
  </si>
  <si>
    <t>average_inventory</t>
  </si>
  <si>
    <t>inventory_days</t>
  </si>
  <si>
    <t>sales_per_day</t>
  </si>
  <si>
    <t>average_accounts_receivables</t>
  </si>
  <si>
    <t>receivables_days</t>
  </si>
  <si>
    <t>payable_days_cos_per_day</t>
  </si>
  <si>
    <t>average_accounts_payables</t>
  </si>
  <si>
    <t>payables_days</t>
  </si>
  <si>
    <t>cash_conversion_cycle</t>
  </si>
  <si>
    <t>turnover_growth_rate</t>
  </si>
  <si>
    <t>gross_profit_trend</t>
  </si>
  <si>
    <t>ratio_operating_expenses_turnover</t>
  </si>
  <si>
    <t>ebitda_trend</t>
  </si>
  <si>
    <t>gross_profit_margin</t>
  </si>
  <si>
    <t>net_profit_margin</t>
  </si>
  <si>
    <t>ebitda_margin</t>
  </si>
  <si>
    <t>roce_average</t>
  </si>
  <si>
    <t>roe_average</t>
  </si>
  <si>
    <t>ratio_debt_to_equity</t>
  </si>
  <si>
    <t>gearing</t>
  </si>
  <si>
    <t>interest_cover</t>
  </si>
  <si>
    <t>debt_cover</t>
  </si>
  <si>
    <t>degree_of_financial_leverage</t>
  </si>
  <si>
    <t>current_ratio</t>
  </si>
  <si>
    <t>quick_ratio</t>
  </si>
  <si>
    <t>ratio_current_assets_minus_liabilities_to_total_assets</t>
  </si>
  <si>
    <t>ratio_retained_earnings_to_total_assets</t>
  </si>
  <si>
    <t>ratio_earnings_before_interest_and_taxes_to_total_assets</t>
  </si>
  <si>
    <t>ratio_book_value_of_equity_to_total_liabilities</t>
  </si>
  <si>
    <t>Database Description</t>
  </si>
  <si>
    <t>Template Description</t>
  </si>
  <si>
    <t>EBIT</t>
  </si>
  <si>
    <t>deferred_tax_asset</t>
  </si>
  <si>
    <t>income_expense_from_investments</t>
  </si>
  <si>
    <t>Deferred tax asset</t>
  </si>
  <si>
    <t>interest_received</t>
  </si>
  <si>
    <r>
      <t xml:space="preserve">Balance sheet </t>
    </r>
    <r>
      <rPr>
        <b/>
        <i/>
        <sz val="14"/>
        <color theme="0" tint="-4.9989318521683403E-2"/>
        <rFont val="Calibri"/>
        <family val="2"/>
        <scheme val="minor"/>
      </rPr>
      <t>(continued)</t>
    </r>
  </si>
  <si>
    <t>Group</t>
  </si>
  <si>
    <t>Group Country</t>
  </si>
  <si>
    <t>Group Sector</t>
  </si>
  <si>
    <t>Group Asset Class</t>
  </si>
  <si>
    <t>Client Name</t>
  </si>
  <si>
    <t>Obligor Key</t>
  </si>
  <si>
    <t>Client Country</t>
  </si>
  <si>
    <t>Client Sector</t>
  </si>
  <si>
    <t>Client Asset Class</t>
  </si>
  <si>
    <t>Report Name</t>
  </si>
  <si>
    <t>Report Run Date</t>
  </si>
  <si>
    <t>Report Type</t>
  </si>
  <si>
    <t>Report Publish Date</t>
  </si>
  <si>
    <t>Starting Period</t>
  </si>
  <si>
    <t>Ending Period</t>
  </si>
  <si>
    <t>MUNACHI (Pty) Ltd</t>
  </si>
  <si>
    <t>South Africa</t>
  </si>
  <si>
    <t>CONSTRUCTION</t>
  </si>
  <si>
    <t>CORPORATE_SME</t>
  </si>
  <si>
    <t>Munachi_01</t>
  </si>
  <si>
    <t>Unsecured Term Loan</t>
  </si>
  <si>
    <t>Unknown</t>
  </si>
  <si>
    <t>Private</t>
  </si>
  <si>
    <t>MUNACHI (Pty) Ltd - 2025-02-28 Sme rating Report</t>
  </si>
  <si>
    <t>2025-11-11</t>
  </si>
  <si>
    <t>SME_RATING</t>
  </si>
  <si>
    <t>2024-02-28</t>
  </si>
  <si>
    <t>2025-02-28</t>
  </si>
  <si>
    <t>Account number</t>
  </si>
  <si>
    <t>Maturity Date</t>
  </si>
  <si>
    <t>Period</t>
  </si>
  <si>
    <t>Senior Secured LGD</t>
  </si>
  <si>
    <t>Senior Unsecured LGD</t>
  </si>
  <si>
    <t>Mezzanine LGD</t>
  </si>
  <si>
    <t>Subordinate LGD</t>
  </si>
  <si>
    <t>RW21</t>
  </si>
  <si>
    <t>RW13</t>
  </si>
  <si>
    <t>Rand</t>
  </si>
  <si>
    <t>Actuals</t>
  </si>
  <si>
    <t>RW20</t>
  </si>
  <si>
    <t>RW11</t>
  </si>
  <si>
    <t xml:space="preserve"> </t>
  </si>
  <si>
    <t>country_score</t>
  </si>
  <si>
    <t>industry_score</t>
  </si>
  <si>
    <t>cicra</t>
  </si>
  <si>
    <t>return_on_capital</t>
  </si>
  <si>
    <t>total_equity_millions</t>
  </si>
  <si>
    <t>revenue_millions</t>
  </si>
  <si>
    <t>ffo_to_debt</t>
  </si>
  <si>
    <t>debt_to_ebitda</t>
  </si>
  <si>
    <t>ebitda_interest_coverage</t>
  </si>
  <si>
    <t>total_debt_to_total_debt_plus_equity</t>
  </si>
  <si>
    <t>country_measure_score</t>
  </si>
  <si>
    <t>industry_measure_score</t>
  </si>
  <si>
    <t>cicra_measure_score</t>
  </si>
  <si>
    <t>return_on_capital_measure_score</t>
  </si>
  <si>
    <t>ebitda_margin_measure_score</t>
  </si>
  <si>
    <t>total_equity_millions_measure_score</t>
  </si>
  <si>
    <t>revenue_millions_measure_score</t>
  </si>
  <si>
    <t>ffo_to_debt_measure_score</t>
  </si>
  <si>
    <t>debt_to_ebitda_measure_score</t>
  </si>
  <si>
    <t>ebitda_interest_coverage_measure_score</t>
  </si>
  <si>
    <t>total_debt_to_total_debt_plus_equity_measure_score</t>
  </si>
  <si>
    <t>investment_income_expense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</si>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</sst>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yyyy\-mm\-dd;@"/>
  </numFmts>
  <fonts count="15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9"/>
      <color theme="3"/>
      <name val="Calibri"/>
      <family val="2"/>
      <scheme val="minor"/>
    </font>
    <font>
      <b/>
      <i/>
      <sz val="14"/>
      <color theme="0" tint="-4.9989318521683403E-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dashed">
        <color theme="0" tint="-0.499984740745262"/>
      </left>
      <right/>
      <top style="dashed">
        <color theme="0" tint="-0.499984740745262"/>
      </top>
      <bottom/>
      <diagonal/>
    </border>
    <border>
      <left/>
      <right/>
      <top style="dashed">
        <color theme="0" tint="-0.499984740745262"/>
      </top>
      <bottom/>
      <diagonal/>
    </border>
    <border>
      <left/>
      <right style="dashed">
        <color theme="0" tint="-0.499984740745262"/>
      </right>
      <top style="dashed">
        <color theme="0" tint="-0.499984740745262"/>
      </top>
      <bottom/>
      <diagonal/>
    </border>
    <border>
      <left style="dashed">
        <color theme="0" tint="-0.499984740745262"/>
      </left>
      <right/>
      <top/>
      <bottom style="dashed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 style="dashed">
        <color theme="0" tint="-0.499984740745262"/>
      </right>
      <top/>
      <bottom style="dashed">
        <color theme="0" tint="-0.499984740745262"/>
      </bottom>
      <diagonal/>
    </border>
    <border>
      <left style="dashed">
        <color theme="0" tint="-0.499984740745262"/>
      </left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/>
      <right/>
      <top/>
      <bottom style="dashed">
        <color theme="0" tint="-0.14999847407452621"/>
      </bottom>
      <diagonal/>
    </border>
    <border>
      <left/>
      <right/>
      <top/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23">
    <xf numFmtId="0" fontId="0" fillId="0" borderId="0" xfId="0"/>
    <xf numFmtId="0" fontId="1" fillId="0" borderId="0" xfId="0" applyFont="1" applyAlignment="1">
      <alignment horizontal="left" vertical="center" indent="1"/>
    </xf>
    <xf numFmtId="0" fontId="1" fillId="0" borderId="0" xfId="0" applyFont="1" applyAlignment="1">
      <alignment vertical="center"/>
    </xf>
    <xf numFmtId="0" fontId="2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vertical="center"/>
    </xf>
    <xf numFmtId="0" fontId="4" fillId="3" borderId="1" xfId="0" applyFont="1" applyFill="1" applyBorder="1" applyAlignment="1">
      <alignment horizontal="left" vertical="center" indent="1"/>
    </xf>
    <xf numFmtId="0" fontId="1" fillId="3" borderId="2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5" fillId="3" borderId="4" xfId="0" applyFont="1" applyFill="1" applyBorder="1" applyAlignment="1">
      <alignment horizontal="left" vertical="center" indent="1"/>
    </xf>
    <xf numFmtId="0" fontId="5" fillId="3" borderId="5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1" fillId="0" borderId="5" xfId="0" applyFont="1" applyBorder="1" applyAlignment="1">
      <alignment horizontal="left" vertical="center" indent="1"/>
    </xf>
    <xf numFmtId="0" fontId="1" fillId="0" borderId="5" xfId="0" applyFont="1" applyBorder="1" applyAlignment="1">
      <alignment vertical="center"/>
    </xf>
    <xf numFmtId="0" fontId="5" fillId="3" borderId="7" xfId="0" applyFont="1" applyFill="1" applyBorder="1" applyAlignment="1">
      <alignment horizontal="left" vertical="center" indent="1"/>
    </xf>
    <xf numFmtId="0" fontId="5" fillId="3" borderId="8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3" fontId="4" fillId="0" borderId="0" xfId="0" applyNumberFormat="1" applyFont="1" applyAlignment="1">
      <alignment horizontal="left" vertical="center"/>
    </xf>
    <xf numFmtId="14" fontId="1" fillId="0" borderId="0" xfId="0" applyNumberFormat="1" applyFont="1" applyAlignment="1">
      <alignment horizontal="left" vertical="center" indent="1"/>
    </xf>
    <xf numFmtId="0" fontId="6" fillId="0" borderId="0" xfId="0" applyFont="1" applyAlignment="1">
      <alignment vertical="center"/>
    </xf>
    <xf numFmtId="0" fontId="7" fillId="4" borderId="7" xfId="0" applyFont="1" applyFill="1" applyBorder="1" applyAlignment="1">
      <alignment horizontal="left" vertical="center" indent="1"/>
    </xf>
    <xf numFmtId="0" fontId="8" fillId="4" borderId="8" xfId="0" applyFont="1" applyFill="1" applyBorder="1" applyAlignment="1">
      <alignment vertical="center"/>
    </xf>
    <xf numFmtId="0" fontId="8" fillId="4" borderId="9" xfId="0" applyFont="1" applyFill="1" applyBorder="1" applyAlignment="1">
      <alignment vertical="center"/>
    </xf>
    <xf numFmtId="0" fontId="9" fillId="5" borderId="7" xfId="0" applyFont="1" applyFill="1" applyBorder="1" applyAlignment="1">
      <alignment horizontal="left" vertical="center" indent="1"/>
    </xf>
    <xf numFmtId="0" fontId="10" fillId="5" borderId="8" xfId="0" applyFont="1" applyFill="1" applyBorder="1" applyAlignment="1">
      <alignment vertical="center"/>
    </xf>
    <xf numFmtId="0" fontId="10" fillId="5" borderId="9" xfId="0" applyFont="1" applyFill="1" applyBorder="1" applyAlignment="1">
      <alignment vertical="center"/>
    </xf>
    <xf numFmtId="0" fontId="4" fillId="6" borderId="4" xfId="0" applyFont="1" applyFill="1" applyBorder="1" applyAlignment="1">
      <alignment horizontal="left" vertical="center" indent="1"/>
    </xf>
    <xf numFmtId="0" fontId="4" fillId="6" borderId="5" xfId="0" applyFont="1" applyFill="1" applyBorder="1" applyAlignment="1">
      <alignment horizontal="center" vertical="center"/>
    </xf>
    <xf numFmtId="0" fontId="4" fillId="6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indent="3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0" borderId="5" xfId="0" applyFont="1" applyBorder="1" applyAlignment="1">
      <alignment horizontal="left" vertical="center" indent="3"/>
    </xf>
    <xf numFmtId="0" fontId="1" fillId="0" borderId="5" xfId="0" applyFont="1" applyBorder="1" applyAlignment="1">
      <alignment horizontal="center" vertical="center"/>
    </xf>
    <xf numFmtId="0" fontId="10" fillId="5" borderId="8" xfId="0" applyFont="1" applyFill="1" applyBorder="1" applyAlignment="1">
      <alignment horizontal="right" vertical="center"/>
    </xf>
    <xf numFmtId="0" fontId="4" fillId="6" borderId="7" xfId="0" applyFont="1" applyFill="1" applyBorder="1" applyAlignment="1">
      <alignment horizontal="left" vertical="center" indent="1"/>
    </xf>
    <xf numFmtId="0" fontId="4" fillId="6" borderId="8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4" fillId="6" borderId="9" xfId="0" applyFont="1" applyFill="1" applyBorder="1" applyAlignment="1">
      <alignment horizontal="center" vertical="center"/>
    </xf>
    <xf numFmtId="3" fontId="4" fillId="0" borderId="0" xfId="0" applyNumberFormat="1" applyFont="1" applyAlignment="1">
      <alignment vertical="center"/>
    </xf>
    <xf numFmtId="3" fontId="1" fillId="0" borderId="0" xfId="0" applyNumberFormat="1" applyFont="1" applyAlignment="1">
      <alignment horizontal="center" vertical="center"/>
    </xf>
    <xf numFmtId="3" fontId="1" fillId="0" borderId="0" xfId="0" applyNumberFormat="1" applyFont="1" applyAlignment="1">
      <alignment vertical="center"/>
    </xf>
    <xf numFmtId="3" fontId="1" fillId="0" borderId="2" xfId="0" applyNumberFormat="1" applyFont="1" applyBorder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vertical="center"/>
    </xf>
    <xf numFmtId="0" fontId="4" fillId="6" borderId="1" xfId="0" applyFont="1" applyFill="1" applyBorder="1" applyAlignment="1">
      <alignment horizontal="left" vertical="center" indent="1"/>
    </xf>
    <xf numFmtId="0" fontId="4" fillId="6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4" fillId="5" borderId="9" xfId="0" applyFont="1" applyFill="1" applyBorder="1" applyAlignment="1">
      <alignment vertical="center"/>
    </xf>
    <xf numFmtId="10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vertical="center"/>
    </xf>
    <xf numFmtId="1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vertical="center"/>
    </xf>
    <xf numFmtId="3" fontId="4" fillId="0" borderId="0" xfId="0" applyNumberFormat="1" applyFont="1" applyAlignment="1">
      <alignment horizontal="right" vertical="center"/>
    </xf>
    <xf numFmtId="0" fontId="4" fillId="7" borderId="0" xfId="0" applyFont="1" applyFill="1" applyAlignment="1">
      <alignment horizontal="left" vertical="center" indent="3"/>
    </xf>
    <xf numFmtId="0" fontId="1" fillId="7" borderId="0" xfId="0" applyFont="1" applyFill="1" applyAlignment="1">
      <alignment horizontal="center" vertical="center"/>
    </xf>
    <xf numFmtId="3" fontId="4" fillId="7" borderId="0" xfId="0" applyNumberFormat="1" applyFont="1" applyFill="1" applyAlignment="1">
      <alignment vertical="center"/>
    </xf>
    <xf numFmtId="0" fontId="4" fillId="7" borderId="0" xfId="0" applyFont="1" applyFill="1" applyAlignment="1">
      <alignment vertical="center"/>
    </xf>
    <xf numFmtId="0" fontId="4" fillId="5" borderId="8" xfId="0" applyFont="1" applyFill="1" applyBorder="1" applyAlignment="1">
      <alignment horizontal="left" vertical="center" indent="1"/>
    </xf>
    <xf numFmtId="0" fontId="1" fillId="5" borderId="8" xfId="0" applyFont="1" applyFill="1" applyBorder="1" applyAlignment="1">
      <alignment horizontal="center" vertical="center"/>
    </xf>
    <xf numFmtId="3" fontId="4" fillId="5" borderId="8" xfId="0" applyNumberFormat="1" applyFont="1" applyFill="1" applyBorder="1" applyAlignment="1">
      <alignment vertical="center"/>
    </xf>
    <xf numFmtId="0" fontId="9" fillId="5" borderId="0" xfId="0" applyFont="1" applyFill="1" applyAlignment="1">
      <alignment horizontal="left" vertical="center" indent="1"/>
    </xf>
    <xf numFmtId="0" fontId="4" fillId="5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4" fillId="7" borderId="0" xfId="0" applyFont="1" applyFill="1" applyAlignment="1">
      <alignment horizontal="left" vertical="center" indent="1"/>
    </xf>
    <xf numFmtId="2" fontId="1" fillId="0" borderId="0" xfId="0" applyNumberFormat="1" applyFont="1" applyAlignment="1">
      <alignment horizontal="center" vertical="center"/>
    </xf>
    <xf numFmtId="0" fontId="1" fillId="0" borderId="11" xfId="0" applyFont="1" applyBorder="1" applyAlignment="1">
      <alignment horizontal="left" vertical="center" indent="3"/>
    </xf>
    <xf numFmtId="0" fontId="1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vertical="center"/>
    </xf>
    <xf numFmtId="0" fontId="4" fillId="5" borderId="8" xfId="0" applyFont="1" applyFill="1" applyBorder="1" applyAlignment="1">
      <alignment horizontal="center" vertical="center"/>
    </xf>
    <xf numFmtId="14" fontId="0" fillId="0" borderId="0" xfId="0" applyNumberFormat="1"/>
    <xf numFmtId="0" fontId="0" fillId="8" borderId="0" xfId="0" applyFill="1"/>
    <xf numFmtId="0" fontId="12" fillId="8" borderId="0" xfId="0" applyFont="1" applyFill="1"/>
    <xf numFmtId="10" fontId="4" fillId="0" borderId="0" xfId="2" applyNumberFormat="1" applyFont="1" applyAlignment="1">
      <alignment horizontal="center" vertical="center"/>
    </xf>
    <xf numFmtId="10" fontId="4" fillId="0" borderId="5" xfId="2" applyNumberFormat="1" applyFont="1" applyBorder="1" applyAlignment="1">
      <alignment horizontal="center" vertical="center"/>
    </xf>
    <xf numFmtId="0" fontId="4" fillId="0" borderId="0" xfId="1" applyNumberFormat="1" applyFont="1" applyAlignment="1">
      <alignment horizontal="right" vertical="center"/>
    </xf>
    <xf numFmtId="0" fontId="4" fillId="0" borderId="0" xfId="1" applyNumberFormat="1" applyFont="1" applyBorder="1" applyAlignment="1">
      <alignment horizontal="right" vertical="center"/>
    </xf>
    <xf numFmtId="2" fontId="4" fillId="0" borderId="0" xfId="1" applyNumberFormat="1" applyFont="1" applyAlignment="1">
      <alignment horizontal="right" vertical="center"/>
    </xf>
    <xf numFmtId="2" fontId="4" fillId="0" borderId="0" xfId="1" applyNumberFormat="1" applyFont="1" applyBorder="1" applyAlignment="1">
      <alignment horizontal="right" vertical="center"/>
    </xf>
    <xf numFmtId="10" fontId="4" fillId="0" borderId="2" xfId="2" applyNumberFormat="1" applyFont="1" applyBorder="1" applyAlignment="1">
      <alignment horizontal="center" vertical="center"/>
    </xf>
    <xf numFmtId="10" fontId="4" fillId="0" borderId="0" xfId="2" applyNumberFormat="1" applyFont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1" applyNumberFormat="1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 indent="3"/>
    </xf>
    <xf numFmtId="3" fontId="1" fillId="0" borderId="10" xfId="0" applyNumberFormat="1" applyFont="1" applyBorder="1" applyAlignment="1">
      <alignment horizontal="center" vertical="center"/>
    </xf>
    <xf numFmtId="3" fontId="1" fillId="0" borderId="10" xfId="0" applyNumberFormat="1" applyFont="1" applyBorder="1" applyAlignment="1">
      <alignment vertical="center"/>
    </xf>
    <xf numFmtId="3" fontId="1" fillId="0" borderId="5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horizontal="left" vertical="center" indent="1"/>
    </xf>
    <xf numFmtId="14" fontId="4" fillId="0" borderId="0" xfId="0" applyNumberFormat="1" applyFont="1" applyAlignment="1">
      <alignment vertical="center"/>
    </xf>
    <xf numFmtId="14" fontId="4" fillId="0" borderId="0" xfId="0" applyNumberFormat="1" applyFont="1" applyAlignment="1">
      <alignment horizontal="left" vertical="center"/>
    </xf>
    <xf numFmtId="165" fontId="1" fillId="0" borderId="0" xfId="0" applyNumberFormat="1" applyFont="1" applyAlignment="1">
      <alignment horizontal="left" vertical="center"/>
    </xf>
    <xf numFmtId="10" fontId="1" fillId="0" borderId="0" xfId="0" applyNumberFormat="1" applyFont="1" applyAlignment="1">
      <alignment horizontal="right" vertical="center"/>
    </xf>
    <xf numFmtId="10" fontId="1" fillId="0" borderId="5" xfId="0" applyNumberFormat="1" applyFont="1" applyBorder="1" applyAlignment="1">
      <alignment horizontal="right" vertical="center"/>
    </xf>
    <xf numFmtId="10" fontId="1" fillId="0" borderId="5" xfId="0" applyNumberFormat="1" applyFont="1" applyBorder="1" applyAlignment="1">
      <alignment horizontal="center" vertical="center"/>
    </xf>
    <xf numFmtId="0" fontId="0" fillId="0" borderId="12" xfId="0" applyBorder="1"/>
    <xf numFmtId="0" fontId="14" fillId="9" borderId="12" xfId="0" applyFont="1" applyFill="1" applyBorder="1"/>
    <xf numFmtId="10" fontId="4" fillId="0" borderId="5" xfId="0" applyNumberFormat="1" applyFont="1" applyBorder="1" applyAlignment="1">
      <alignment horizontal="center" vertical="center"/>
    </xf>
    <xf numFmtId="3" fontId="4" fillId="7" borderId="0" xfId="0" applyNumberFormat="1" applyFont="1" applyFill="1" applyAlignment="1">
      <alignment horizontal="right" vertical="center"/>
    </xf>
    <xf numFmtId="0" fontId="4" fillId="0" borderId="0" xfId="0" applyFont="1" applyAlignment="1">
      <alignment horizontal="right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4" fillId="6" borderId="5" xfId="0" applyNumberFormat="1" applyFont="1" applyFill="1" applyBorder="1" applyAlignment="1">
      <alignment horizontal="right" vertical="center"/>
    </xf>
    <xf numFmtId="10" fontId="4" fillId="0" borderId="0" xfId="1" applyNumberFormat="1" applyFont="1" applyAlignment="1">
      <alignment horizontal="center" vertical="center"/>
    </xf>
    <xf numFmtId="10" fontId="4" fillId="0" borderId="0" xfId="1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right" vertical="center"/>
    </xf>
    <xf numFmtId="3" fontId="1" fillId="0" borderId="2" xfId="0" applyNumberFormat="1" applyFont="1" applyBorder="1" applyAlignment="1">
      <alignment vertical="center"/>
    </xf>
    <xf numFmtId="10" fontId="1" fillId="0" borderId="0" xfId="2" applyNumberFormat="1" applyFont="1" applyAlignment="1">
      <alignment horizontal="center" vertical="center"/>
    </xf>
    <xf numFmtId="10" fontId="1" fillId="0" borderId="5" xfId="2" applyNumberFormat="1" applyFont="1" applyBorder="1" applyAlignment="1">
      <alignment horizontal="center" vertical="center"/>
    </xf>
    <xf numFmtId="14" fontId="4" fillId="0" borderId="0" xfId="0" applyNumberFormat="1" applyFont="1" applyAlignment="1">
      <alignment horizontal="left" vertical="center" indent="1"/>
    </xf>
    <xf numFmtId="10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579120</xdr:colOff>
      <xdr:row>4</xdr:row>
      <xdr:rowOff>45720</xdr:rowOff>
    </xdr:from>
    <xdr:to>
      <xdr:col>3</xdr:col>
      <xdr:colOff>30480</xdr:colOff>
      <xdr:row>6</xdr:row>
      <xdr:rowOff>152400</xdr:rowOff>
    </xdr:to>
    <xdr:sp macro="[0]!ApplyFormatting" textlink="">
      <xdr:nvSpPr>
        <xdr:cNvPr id="2" name="TextBox 1">
          <a:extLst>
            <a:ext uri="{FF2B5EF4-FFF2-40B4-BE49-F238E27FC236}">
              <a16:creationId xmlns:a16="http://schemas.microsoft.com/office/drawing/2014/main" id="{5E4CE61B-1FFF-4B35-B425-44B49D4A333E}"/>
            </a:ext>
          </a:extLst>
        </xdr:cNvPr>
        <xdr:cNvSpPr txBox="1"/>
      </xdr:nvSpPr>
      <xdr:spPr>
        <a:xfrm>
          <a:off x="579120" y="777240"/>
          <a:ext cx="1280160" cy="47244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Apply Formatting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1E453-96C5-4B58-A316-1AD8E0552E80}">
  <sheetPr codeName="Sheet1"/>
  <dimension ref="B10:B13"/>
  <sheetViews>
    <sheetView workbookViewId="0">
      <selection activeCell="K8" sqref="K8"/>
    </sheetView>
  </sheetViews>
  <sheetFormatPr defaultColWidth="8.88671875" defaultRowHeight="14.4" x14ac:dyDescent="0.3"/>
  <cols>
    <col min="1" max="16384" width="8.88671875" style="82"/>
  </cols>
  <sheetData>
    <row r="10" spans="2:2" x14ac:dyDescent="0.3">
      <c r="B10" s="83" t="s">
        <v>214</v>
      </c>
    </row>
    <row r="11" spans="2:2" x14ac:dyDescent="0.3">
      <c r="B11" s="82" t="s">
        <v>215</v>
      </c>
    </row>
    <row r="12" spans="2:2" x14ac:dyDescent="0.3">
      <c r="B12" s="82" t="s">
        <v>216</v>
      </c>
    </row>
    <row r="13" spans="2:2" x14ac:dyDescent="0.3">
      <c r="B13" s="82" t="s">
        <v>217</v>
      </c>
    </row>
  </sheetData>
  <sheetProtection sheet="1" objects="1" scenario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I262"/>
  <sheetViews>
    <sheetView showGridLines="0" tabSelected="1" zoomScale="85" zoomScaleNormal="85" workbookViewId="0">
      <selection activeCell="E9" sqref="E9"/>
    </sheetView>
  </sheetViews>
  <sheetFormatPr defaultColWidth="8.88671875" defaultRowHeight="15.75" customHeight="1" outlineLevelRow="1" x14ac:dyDescent="0.3"/>
  <cols>
    <col min="1" max="1" width="51.33203125" style="1" customWidth="1"/>
    <col min="2" max="8" width="19.109375" style="2" customWidth="1"/>
    <col min="9" max="9" width="8.88671875" style="2" customWidth="1"/>
    <col min="10" max="16384" width="8.88671875" style="2"/>
  </cols>
  <sheetData>
    <row r="2" spans="1:9" ht="15.75" customHeight="1" x14ac:dyDescent="0.3">
      <c r="A2" s="3" t="str">
        <f>IF('Report - About'!A2=0,"",'Report - About'!A2)</f>
        <v>MUNACHI (Pty) Ltd</v>
      </c>
      <c r="B2" s="4"/>
      <c r="C2" s="4"/>
      <c r="D2" s="4"/>
      <c r="E2" s="4"/>
      <c r="F2" s="4"/>
      <c r="G2" s="4"/>
      <c r="H2" s="4"/>
    </row>
    <row r="3" spans="1:9" ht="15.75" customHeight="1" x14ac:dyDescent="0.3">
      <c r="A3" s="5" t="str">
        <f>CONCATENATE('Report - About'!E2,"|",'Report - About'!F2,"|",'Report - About'!L2,)</f>
        <v>MUNACHI (Pty) Ltd|Munachi_01|Private</v>
      </c>
      <c r="B3" s="6"/>
      <c r="C3" s="6"/>
      <c r="D3" s="6"/>
      <c r="E3" s="6"/>
      <c r="F3" s="6"/>
      <c r="G3" s="6"/>
      <c r="H3" s="7"/>
    </row>
    <row r="4" spans="1:9" s="8" customFormat="1" ht="15.75" customHeight="1" x14ac:dyDescent="0.3">
      <c r="A4" s="9" t="str">
        <f>CONCATENATE('Report - About'!B2,"|",'Report - About'!H2,"|",'Report - About'!I2,"|",'Report - About'!L2,)</f>
        <v>South Africa|CONSTRUCTION|CORPORATE_SME|Private</v>
      </c>
      <c r="B4" s="10"/>
      <c r="C4" s="10"/>
      <c r="D4" s="10"/>
      <c r="E4" s="10"/>
      <c r="F4" s="10"/>
      <c r="G4" s="10"/>
      <c r="H4" s="11"/>
    </row>
    <row r="6" spans="1:9" ht="15.75" customHeight="1" x14ac:dyDescent="0.3">
      <c r="A6" s="1" t="s">
        <v>0</v>
      </c>
      <c r="B6" s="36" t="s">
        <v>1</v>
      </c>
      <c r="C6" s="36" t="s">
        <v>2</v>
      </c>
      <c r="D6" s="36" t="s">
        <v>3</v>
      </c>
      <c r="E6" s="36" t="s">
        <v>4</v>
      </c>
      <c r="F6" s="36" t="s">
        <v>5</v>
      </c>
      <c r="G6" s="36" t="s">
        <v>6</v>
      </c>
    </row>
    <row r="7" spans="1:9" ht="15.75" customHeight="1" x14ac:dyDescent="0.3">
      <c r="A7" s="13" t="str">
        <f>IF('Report - About'!O2=0,"",'Report - About'!O2)</f>
        <v>SME_RATING</v>
      </c>
      <c r="B7" s="100" t="str">
        <f>IF('Report - About'!N2=0,"",'Report - About'!N2)</f>
        <v>2025-11-11</v>
      </c>
      <c r="C7" s="16" t="str">
        <f>IF('Report - About'!M2=0,"",'Report - About'!M2)</f>
        <v>MUNACHI (Pty) Ltd - 2025-02-28 Sme rating Report</v>
      </c>
      <c r="D7" s="122" t="str">
        <f>B37</f>
        <v>2025-02-28</v>
      </c>
      <c r="E7" s="16"/>
      <c r="F7" s="121">
        <f>B45</f>
        <v>0.52979524149766577</v>
      </c>
      <c r="G7" s="14" t="str">
        <f>B43</f>
        <v>RW20</v>
      </c>
    </row>
    <row r="8" spans="1:9" ht="15.75" customHeight="1" x14ac:dyDescent="0.3">
      <c r="A8" s="17"/>
      <c r="B8" s="18"/>
      <c r="C8" s="18"/>
      <c r="D8" s="18"/>
      <c r="E8" s="18"/>
      <c r="F8" s="18"/>
      <c r="G8" s="18"/>
      <c r="H8" s="18"/>
    </row>
    <row r="10" spans="1:9" ht="15.75" customHeight="1" x14ac:dyDescent="0.3">
      <c r="A10" s="3" t="str">
        <f>A3</f>
        <v>MUNACHI (Pty) Ltd|Munachi_01|Private</v>
      </c>
      <c r="B10" s="4"/>
      <c r="C10" s="4"/>
      <c r="D10" s="4"/>
      <c r="E10" s="4"/>
      <c r="F10" s="4"/>
      <c r="G10" s="4"/>
      <c r="H10" s="4"/>
    </row>
    <row r="11" spans="1:9" ht="15.75" customHeight="1" x14ac:dyDescent="0.3">
      <c r="A11" s="19" t="str">
        <f>A4</f>
        <v>South Africa|CONSTRUCTION|CORPORATE_SME|Private</v>
      </c>
      <c r="B11" s="20"/>
      <c r="C11" s="20"/>
      <c r="D11" s="20"/>
      <c r="E11" s="20"/>
      <c r="F11" s="20"/>
      <c r="G11" s="20"/>
      <c r="H11" s="21"/>
    </row>
    <row r="12" spans="1:9" ht="15.75" customHeight="1" x14ac:dyDescent="0.3">
      <c r="A12" s="1" t="s">
        <v>7</v>
      </c>
      <c r="B12" s="12" t="s">
        <v>8</v>
      </c>
      <c r="C12" s="12" t="s">
        <v>9</v>
      </c>
      <c r="D12" s="12"/>
      <c r="E12" s="12"/>
      <c r="F12" s="12"/>
      <c r="G12" s="12"/>
      <c r="H12" s="12"/>
    </row>
    <row r="13" spans="1:9" ht="15.75" customHeight="1" x14ac:dyDescent="0.3">
      <c r="A13" s="13" t="str">
        <f>IF('Report - About'!J2=0,"",'Report - About'!J2)</f>
        <v>Unsecured Term Loan</v>
      </c>
      <c r="B13" s="16" t="str">
        <f>IF('Report - About'!K2=0,"",'Report - About'!K2)</f>
        <v>Unknown</v>
      </c>
      <c r="C13" s="16" t="str">
        <f>IF('Report - About'!L2=0,"",'Report - About'!L2)</f>
        <v>Private</v>
      </c>
    </row>
    <row r="14" spans="1:9" s="12" customFormat="1" ht="15.75" customHeight="1" x14ac:dyDescent="0.3">
      <c r="A14" s="1" t="s">
        <v>10</v>
      </c>
      <c r="B14" s="12" t="s">
        <v>11</v>
      </c>
      <c r="C14" s="12" t="s">
        <v>12</v>
      </c>
      <c r="D14" s="12" t="s">
        <v>13</v>
      </c>
      <c r="E14" s="12" t="s">
        <v>14</v>
      </c>
      <c r="F14" s="12" t="s">
        <v>15</v>
      </c>
      <c r="G14" s="12" t="s">
        <v>16</v>
      </c>
      <c r="H14" s="12" t="s">
        <v>17</v>
      </c>
      <c r="I14" s="15"/>
    </row>
    <row r="15" spans="1:9" ht="15.75" customHeight="1" x14ac:dyDescent="0.3">
      <c r="A15" s="120" t="str">
        <f>B37</f>
        <v>2025-02-28</v>
      </c>
      <c r="B15" s="99" t="str">
        <f>IF('Report - About'!P2=0,"",'Report - About'!P2)</f>
        <v>2025-11-11</v>
      </c>
      <c r="C15" s="16" t="str">
        <f>IF('Report - Period Rating Results'!H2="","",'Report - Period Rating Results'!H2)</f>
        <v>Rand</v>
      </c>
      <c r="D15" s="15" t="str">
        <f>IF('Report - Period Rating Results'!I2=0,"",'Report - Period Rating Results'!I2)</f>
        <v>Actuals</v>
      </c>
      <c r="E15" s="22">
        <f>B54</f>
        <v>25636446</v>
      </c>
      <c r="F15" s="22">
        <f>B55</f>
        <v>1713482</v>
      </c>
      <c r="G15" s="22">
        <f>B51</f>
        <v>7129656</v>
      </c>
      <c r="H15" s="22">
        <f>B50</f>
        <v>10771905</v>
      </c>
    </row>
    <row r="16" spans="1:9" ht="15.75" customHeight="1" x14ac:dyDescent="0.3">
      <c r="A16" s="17"/>
      <c r="B16" s="18"/>
      <c r="C16" s="18"/>
      <c r="D16" s="18"/>
      <c r="E16" s="18"/>
      <c r="F16" s="18"/>
      <c r="G16" s="18"/>
      <c r="H16" s="18"/>
    </row>
    <row r="18" spans="1:8" ht="15.75" customHeight="1" x14ac:dyDescent="0.3">
      <c r="A18" s="3" t="s">
        <v>18</v>
      </c>
      <c r="B18" s="4"/>
      <c r="C18" s="4"/>
      <c r="D18" s="4"/>
      <c r="E18" s="4"/>
      <c r="F18" s="4"/>
      <c r="G18" s="4"/>
      <c r="H18" s="4"/>
    </row>
    <row r="19" spans="1:8" ht="15.75" customHeight="1" outlineLevel="1" collapsed="1" x14ac:dyDescent="0.3">
      <c r="A19" s="1" t="s">
        <v>19</v>
      </c>
      <c r="B19" s="12" t="s">
        <v>20</v>
      </c>
    </row>
    <row r="20" spans="1:8" ht="15.75" customHeight="1" outlineLevel="1" collapsed="1" x14ac:dyDescent="0.3">
      <c r="A20" s="98" t="str">
        <f>IF('Report - About'!R2=0,"",'Report - About'!R2)</f>
        <v>2025-02-28</v>
      </c>
      <c r="B20" s="101" t="str">
        <f>IF('Report - About'!Q2=0,"",'Report - About'!Q2)</f>
        <v>2024-02-28</v>
      </c>
    </row>
    <row r="21" spans="1:8" ht="15.75" customHeight="1" outlineLevel="1" collapsed="1" x14ac:dyDescent="0.3">
      <c r="A21" s="23"/>
    </row>
    <row r="22" spans="1:8" s="24" customFormat="1" ht="15.75" customHeight="1" outlineLevel="1" collapsed="1" x14ac:dyDescent="0.3">
      <c r="A22" s="25" t="s">
        <v>21</v>
      </c>
      <c r="B22" s="26"/>
      <c r="C22" s="26"/>
      <c r="D22" s="26"/>
      <c r="E22" s="26"/>
      <c r="F22" s="26"/>
      <c r="G22" s="26"/>
      <c r="H22" s="27"/>
    </row>
    <row r="23" spans="1:8" ht="15.75" customHeight="1" outlineLevel="1" collapsed="1" x14ac:dyDescent="0.3">
      <c r="A23" s="28" t="s">
        <v>22</v>
      </c>
      <c r="B23" s="29"/>
      <c r="C23" s="29"/>
      <c r="D23" s="29"/>
      <c r="E23" s="29"/>
      <c r="F23" s="29"/>
      <c r="G23" s="29"/>
      <c r="H23" s="30"/>
    </row>
    <row r="24" spans="1:8" ht="15.75" customHeight="1" outlineLevel="1" collapsed="1" x14ac:dyDescent="0.3">
      <c r="A24" s="13" t="s">
        <v>23</v>
      </c>
      <c r="B24" s="14" t="s">
        <v>24</v>
      </c>
      <c r="C24" s="14" t="s">
        <v>25</v>
      </c>
      <c r="D24" s="14" t="s">
        <v>26</v>
      </c>
      <c r="E24" s="14" t="s">
        <v>27</v>
      </c>
    </row>
    <row r="25" spans="1:8" ht="15.75" customHeight="1" outlineLevel="1" collapsed="1" x14ac:dyDescent="0.3"/>
    <row r="26" spans="1:8" ht="15.75" customHeight="1" outlineLevel="1" collapsed="1" x14ac:dyDescent="0.3"/>
    <row r="27" spans="1:8" ht="15.75" customHeight="1" outlineLevel="1" collapsed="1" x14ac:dyDescent="0.3"/>
    <row r="28" spans="1:8" ht="15.75" customHeight="1" outlineLevel="1" collapsed="1" x14ac:dyDescent="0.3">
      <c r="A28" s="17"/>
      <c r="B28" s="18"/>
      <c r="C28" s="18"/>
      <c r="D28" s="18"/>
      <c r="E28" s="18"/>
      <c r="F28" s="18"/>
      <c r="G28" s="18"/>
      <c r="H28" s="18"/>
    </row>
    <row r="29" spans="1:8" ht="15.75" customHeight="1" outlineLevel="1" collapsed="1" x14ac:dyDescent="0.3"/>
    <row r="30" spans="1:8" ht="15.75" customHeight="1" outlineLevel="1" collapsed="1" x14ac:dyDescent="0.3">
      <c r="A30" s="28" t="s">
        <v>28</v>
      </c>
      <c r="B30" s="29"/>
      <c r="C30" s="29"/>
      <c r="D30" s="29"/>
      <c r="E30" s="29"/>
      <c r="F30" s="29"/>
      <c r="G30" s="29"/>
      <c r="H30" s="30"/>
    </row>
    <row r="31" spans="1:8" ht="15.75" customHeight="1" outlineLevel="1" collapsed="1" x14ac:dyDescent="0.3">
      <c r="A31" s="13" t="s">
        <v>23</v>
      </c>
      <c r="B31" s="14" t="s">
        <v>24</v>
      </c>
      <c r="C31" s="14" t="s">
        <v>25</v>
      </c>
      <c r="D31" s="14" t="s">
        <v>26</v>
      </c>
      <c r="E31" s="14" t="s">
        <v>27</v>
      </c>
    </row>
    <row r="32" spans="1:8" ht="15.75" customHeight="1" outlineLevel="1" collapsed="1" x14ac:dyDescent="0.3"/>
    <row r="33" spans="1:8" ht="15.75" customHeight="1" outlineLevel="1" collapsed="1" x14ac:dyDescent="0.3"/>
    <row r="34" spans="1:8" ht="15.75" customHeight="1" outlineLevel="1" collapsed="1" x14ac:dyDescent="0.3">
      <c r="A34" s="17"/>
      <c r="B34" s="18"/>
      <c r="C34" s="18"/>
      <c r="D34" s="18"/>
      <c r="E34" s="18"/>
      <c r="F34" s="18"/>
      <c r="G34" s="18"/>
      <c r="H34" s="18"/>
    </row>
    <row r="35" spans="1:8" ht="15.75" customHeight="1" outlineLevel="1" collapsed="1" x14ac:dyDescent="0.3"/>
    <row r="36" spans="1:8" s="24" customFormat="1" ht="15.75" customHeight="1" outlineLevel="1" collapsed="1" x14ac:dyDescent="0.3">
      <c r="A36" s="25" t="s">
        <v>29</v>
      </c>
      <c r="B36" s="26"/>
      <c r="C36" s="26"/>
      <c r="D36" s="26"/>
      <c r="E36" s="26"/>
      <c r="F36" s="26"/>
      <c r="G36" s="26"/>
      <c r="H36" s="27"/>
    </row>
    <row r="37" spans="1:8" s="16" customFormat="1" ht="15.75" customHeight="1" outlineLevel="1" collapsed="1" x14ac:dyDescent="0.3">
      <c r="A37" s="31" t="s">
        <v>30</v>
      </c>
      <c r="B37" s="113" t="str">
        <f>IF(COUNTA('Report - Period Rating Results'!$A:$A)&lt;=2,'Report - Period Rating Results'!A2,IF(COUNTA('Report - Period Rating Results'!$A:$A)&gt;3,TEXT(MAX(DATEVALUE('Report - Period Rating Results'!$A$2),DATEVALUE('Report - Period Rating Results'!$A$3),DATEVALUE('Report - Period Rating Results'!$A$4)),"yyyy-mm-dd"),TEXT(MAX(DATEVALUE('Report - Period Rating Results'!$A$2),DATEVALUE('Report - Period Rating Results'!$A$3)),"yyyy-mm-dd")))</f>
        <v>2025-02-28</v>
      </c>
      <c r="C37" s="113"/>
      <c r="D37" s="113" t="str">
        <f>IF(COUNTA('Report - Period Rating Results'!$A:$A)&lt;=2,"",IF(COUNTA('Report - Period Rating Results'!$A:$A)&gt;3,TEXT(MEDIAN(DATEVALUE('Report - Period Rating Results'!$A$2),DATEVALUE('Report - Period Rating Results'!$A$3),DATEVALUE('Report - Period Rating Results'!$A$4)),"yyyy-mm-dd"),TEXT(MIN(DATEVALUE('Report - Period Rating Results'!$A$2),DATEVALUE('Report - Period Rating Results'!$A$3)),"yyyy-mm-dd")))</f>
        <v>2024-02-28</v>
      </c>
      <c r="E37" s="113"/>
      <c r="F37" s="113" t="str">
        <f>IF(COUNTA('Report - Period Rating Results'!$A:$A)&gt;3,TEXT(MIN(DATEVALUE('Report - Period Rating Results'!$A$2),DATEVALUE('Report - Period Rating Results'!$A$3),DATEVALUE('Report - Period Rating Results'!$A$4)),"yyyy-mm-dd"),"")</f>
        <v/>
      </c>
      <c r="G37" s="32"/>
      <c r="H37" s="33"/>
    </row>
    <row r="38" spans="1:8" ht="15.75" customHeight="1" outlineLevel="1" collapsed="1" x14ac:dyDescent="0.3">
      <c r="A38" s="28" t="s">
        <v>31</v>
      </c>
      <c r="B38" s="29"/>
      <c r="C38" s="29"/>
      <c r="D38" s="29"/>
      <c r="E38" s="29"/>
      <c r="F38" s="29"/>
      <c r="G38" s="29"/>
      <c r="H38" s="30"/>
    </row>
    <row r="39" spans="1:8" ht="15.75" customHeight="1" outlineLevel="1" collapsed="1" x14ac:dyDescent="0.3">
      <c r="A39" s="34" t="s">
        <v>219</v>
      </c>
      <c r="B39" s="35" t="str">
        <f>IFERROR(INDEX('Report - Period Rating Results'!$B$2:$I$7,MATCH('Report Actual'!B$37,'Report - Period Rating Results'!$A$2:$A$7,0),MATCH('Report Actual'!$A39,'Report - Period Rating Results'!$B$1:$I$1,0)),"")</f>
        <v>RW11</v>
      </c>
      <c r="C39" s="36"/>
      <c r="D39" s="35" t="str">
        <f>IFERROR(INDEX('Report - Period Rating Results'!$B$2:$I$7,MATCH('Report Actual'!D$37,'Report - Period Rating Results'!$A$2:$A$7,0),MATCH('Report Actual'!$A$39,'Report - Period Rating Results'!$B$1:$I$1,0)),"")</f>
        <v>RW13</v>
      </c>
      <c r="E39" s="36"/>
      <c r="F39" s="35" t="str">
        <f>IFERROR(INDEX('Report - Period Rating Results'!$B$2:$I$7,MATCH('Report Actual'!F$37,'Report - Period Rating Results'!$A$2:$A$7,0),MATCH('Report Actual'!$A$39,'Report - Period Rating Results'!$B$1:$I$1,0)),"")</f>
        <v/>
      </c>
      <c r="G39" s="36"/>
    </row>
    <row r="40" spans="1:8" ht="15.75" customHeight="1" outlineLevel="1" collapsed="1" x14ac:dyDescent="0.3">
      <c r="A40" s="34" t="s">
        <v>220</v>
      </c>
      <c r="B40" s="102">
        <f>IFERROR(INDEX('Report - Period Rating Results'!$B$2:$I$7,MATCH('Report Actual'!B$37,'Report - Period Rating Results'!$A$2:$A$7,0),MATCH('Report Actual'!$A40,'Report - Period Rating Results'!$B$1:$I$1,0))/100,"")</f>
        <v>3.6361620555198648E-3</v>
      </c>
      <c r="C40" s="36"/>
      <c r="D40" s="102">
        <f>IFERROR(INDEX('Report - Period Rating Results'!$B$2:$I$7,MATCH('Report Actual'!D$37,'Report - Period Rating Results'!$A$2:$A$7,0),MATCH('Report Actual'!$A40,'Report - Period Rating Results'!$B$1:$I$1,0))/100,"")</f>
        <v>6.8016382959072974E-3</v>
      </c>
      <c r="E40" s="36"/>
      <c r="F40" s="102" t="str">
        <f>IFERROR(INDEX('Report - Period Rating Results'!$B$2:$I$7,MATCH('Report Actual'!F$37,'Report - Period Rating Results'!$A$2:$A$7,0),MATCH('Report Actual'!$A40,'Report - Period Rating Results'!$B$1:$I$1,0))/100,"")</f>
        <v/>
      </c>
      <c r="G40" s="36"/>
    </row>
    <row r="41" spans="1:8" ht="15.75" customHeight="1" outlineLevel="1" collapsed="1" x14ac:dyDescent="0.3">
      <c r="A41" s="37" t="s">
        <v>221</v>
      </c>
      <c r="B41" s="102">
        <f>IFERROR(INDEX('Report - Period Rating Results'!$B$2:$I$7,MATCH('Report Actual'!B$37,'Report - Period Rating Results'!$A$2:$A$7,0),MATCH('Report Actual'!$A41,'Report - Period Rating Results'!$B$1:$I$1,0))/100,"")</f>
        <v>0.52979524149766577</v>
      </c>
      <c r="C41" s="38"/>
      <c r="D41" s="102">
        <f>IFERROR(INDEX('Report - Period Rating Results'!$B$2:$I$7,MATCH('Report Actual'!D$37,'Report - Period Rating Results'!$A$2:$A$7,0),MATCH('Report Actual'!$A41,'Report - Period Rating Results'!$B$1:$I$1,0))/100,"")</f>
        <v>0.53363679302878664</v>
      </c>
      <c r="E41" s="38"/>
      <c r="F41" s="102" t="str">
        <f>IFERROR(INDEX('Report - Period Rating Results'!$B$2:$I$7,MATCH('Report Actual'!F$37,'Report - Period Rating Results'!$A$2:$A$7,0),MATCH('Report Actual'!$A41,'Report - Period Rating Results'!$B$1:$I$1,0))/100,"")</f>
        <v/>
      </c>
      <c r="G41" s="38"/>
      <c r="H41" s="18"/>
    </row>
    <row r="42" spans="1:8" ht="15.75" customHeight="1" outlineLevel="1" collapsed="1" x14ac:dyDescent="0.3">
      <c r="A42" s="28" t="s">
        <v>33</v>
      </c>
      <c r="B42" s="39"/>
      <c r="C42" s="29"/>
      <c r="D42" s="39"/>
      <c r="E42" s="29"/>
      <c r="F42" s="39"/>
      <c r="G42" s="29"/>
      <c r="H42" s="30"/>
    </row>
    <row r="43" spans="1:8" ht="15.75" customHeight="1" outlineLevel="1" collapsed="1" x14ac:dyDescent="0.3">
      <c r="A43" s="34" t="s">
        <v>32</v>
      </c>
      <c r="B43" s="35" t="str">
        <f>IFERROR(INDEX('Report - Period Rating Results'!$B$2:$I$7,MATCH('Report Actual'!B$37,'Report - Period Rating Results'!$A$2:$A$7,0),MATCH('Report Actual'!$A43,'Report - Period Rating Results'!$B$1:$I$1,0)),"")</f>
        <v>RW20</v>
      </c>
      <c r="C43" s="36"/>
      <c r="D43" s="35" t="str">
        <f>IFERROR(INDEX('Report - Period Rating Results'!$B$2:$I$7,MATCH('Report Actual'!D$37,'Report - Period Rating Results'!$A$2:$A$7,0),MATCH('Report Actual'!$A43,'Report - Period Rating Results'!$B$1:$I$1,0)),"")</f>
        <v>RW21</v>
      </c>
      <c r="E43" s="36"/>
      <c r="F43" s="35" t="str">
        <f>IFERROR(INDEX('Report - Period Rating Results'!$B$2:$I$7,MATCH('Report Actual'!F$37,'Report - Period Rating Results'!$A$2:$A$7,0),MATCH('Report Actual'!$A43,'Report - Period Rating Results'!$B$1:$I$1,0)),"")</f>
        <v/>
      </c>
      <c r="G43" s="36"/>
      <c r="H43" s="36"/>
    </row>
    <row r="44" spans="1:8" ht="15.75" customHeight="1" outlineLevel="1" collapsed="1" x14ac:dyDescent="0.3">
      <c r="A44" s="34" t="s">
        <v>218</v>
      </c>
      <c r="B44" s="102">
        <f>IFERROR(INDEX('Report - Period Rating Results'!$B$2:$I$7,MATCH('Report Actual'!B$37,'Report - Period Rating Results'!$A$2:$A$7,0),MATCH('Report Actual'!$A44,'Report - Period Rating Results'!$B$1:$I$1,0))/100,"")</f>
        <v>7.2410000000000002E-2</v>
      </c>
      <c r="C44" s="58"/>
      <c r="D44" s="102">
        <f>IFERROR(INDEX('Report - Period Rating Results'!$B$2:$I$7,MATCH('Report Actual'!D$37,'Report - Period Rating Results'!$A$2:$A$7,0),MATCH('Report Actual'!$A44,'Report - Period Rating Results'!$B$1:$I$1,0))/100,"")</f>
        <v>0.1024</v>
      </c>
      <c r="E44" s="58"/>
      <c r="F44" s="102" t="str">
        <f>IFERROR(INDEX('Report - Period Rating Results'!$B$2:$I$7,MATCH('Report Actual'!F$37,'Report - Period Rating Results'!$A$2:$A$7,0),MATCH('Report Actual'!$A44,'Report - Period Rating Results'!$B$1:$I$1,0))/100,"")</f>
        <v/>
      </c>
      <c r="G44" s="36"/>
      <c r="H44" s="36"/>
    </row>
    <row r="45" spans="1:8" ht="15.75" customHeight="1" outlineLevel="1" collapsed="1" x14ac:dyDescent="0.3">
      <c r="A45" s="37" t="s">
        <v>5</v>
      </c>
      <c r="B45" s="103">
        <f>IFERROR(INDEX('Report - Period Rating Results'!$B$2:$I$7,MATCH('Report Actual'!B$37,'Report - Period Rating Results'!$A$2:$A$7,0),MATCH('Report Actual'!$A45,'Report - Period Rating Results'!$B$1:$I$1,0))/100,"")</f>
        <v>0.52979524149766577</v>
      </c>
      <c r="C45" s="104"/>
      <c r="D45" s="103">
        <f>IFERROR(INDEX('Report - Period Rating Results'!$B$2:$I$7,MATCH('Report Actual'!D$37,'Report - Period Rating Results'!$A$2:$A$7,0),MATCH('Report Actual'!$A45,'Report - Period Rating Results'!$B$1:$I$1,0))/100,"")</f>
        <v>0.53363679302878664</v>
      </c>
      <c r="E45" s="104"/>
      <c r="F45" s="103" t="str">
        <f>IFERROR(INDEX('Report - Period Rating Results'!$B$2:$I$7,MATCH('Report Actual'!F$37,'Report - Period Rating Results'!$A$2:$A$7,0),MATCH('Report Actual'!$A45,'Report - Period Rating Results'!$B$1:$I$1,0))/100,"")</f>
        <v/>
      </c>
      <c r="G45" s="38"/>
      <c r="H45" s="38"/>
    </row>
    <row r="47" spans="1:8" ht="15.75" customHeight="1" x14ac:dyDescent="0.3">
      <c r="A47" s="3" t="s">
        <v>34</v>
      </c>
      <c r="B47" s="4"/>
      <c r="C47" s="4"/>
      <c r="D47" s="4"/>
      <c r="E47" s="4"/>
      <c r="F47" s="4"/>
      <c r="G47" s="4"/>
      <c r="H47" s="4"/>
    </row>
    <row r="48" spans="1:8" s="16" customFormat="1" ht="15.75" customHeight="1" outlineLevel="1" collapsed="1" x14ac:dyDescent="0.3">
      <c r="A48" s="40" t="s">
        <v>30</v>
      </c>
      <c r="B48" s="41" t="str">
        <f>IF(B37=0,"",B37)</f>
        <v>2025-02-28</v>
      </c>
      <c r="C48" s="42"/>
      <c r="D48" s="41" t="str">
        <f>D37</f>
        <v>2024-02-28</v>
      </c>
      <c r="E48" s="42"/>
      <c r="F48" s="41" t="str">
        <f>IF($F$37="","",F37)</f>
        <v/>
      </c>
      <c r="G48" s="41"/>
      <c r="H48" s="43"/>
    </row>
    <row r="49" spans="1:8" ht="15.75" customHeight="1" outlineLevel="1" collapsed="1" x14ac:dyDescent="0.3">
      <c r="A49" s="28" t="s">
        <v>35</v>
      </c>
      <c r="B49" s="29"/>
      <c r="C49" s="29"/>
      <c r="D49" s="29"/>
      <c r="E49" s="29"/>
      <c r="F49" s="29"/>
      <c r="G49" s="29"/>
      <c r="H49" s="30"/>
    </row>
    <row r="50" spans="1:8" ht="15.75" customHeight="1" outlineLevel="1" collapsed="1" x14ac:dyDescent="0.3">
      <c r="A50" s="34" t="s">
        <v>17</v>
      </c>
      <c r="B50" s="46">
        <f>IFERROR(INDEX('Report - Financial Highlights'!$B$2:$D$16,MATCH(VLOOKUP('Report Actual'!$A50,Lookups!$I$2:$J$16,2,FALSE),'Report - Financial Highlights'!$A$2:$A$16,0),MATCH('Report Actual'!B$48,'Report - Financial Highlights'!$B$1:$D$1,0)),"")</f>
        <v>10771905</v>
      </c>
      <c r="C50" s="45" t="s">
        <v>36</v>
      </c>
      <c r="D50" s="46">
        <f>IFERROR(INDEX('Report - Financial Highlights'!$B$2:$D$16,MATCH(VLOOKUP('Report Actual'!$A50,Lookups!$I$2:$J$16,2,FALSE),'Report - Financial Highlights'!$A$2:$A$16,0),MATCH('Report Actual'!D$48,'Report - Financial Highlights'!$B$1:$D$1,0)),"")</f>
        <v>5812450</v>
      </c>
      <c r="E50" s="45" t="s">
        <v>36</v>
      </c>
      <c r="F50" s="46" t="str">
        <f>IFERROR(INDEX('Report - Financial Highlights'!$B$2:$D$16,MATCH(VLOOKUP('Report Actual'!$A50,Lookups!$I$2:$J$16,2,FALSE),'Report - Financial Highlights'!$A$2:$A$16,0),MATCH('Report Actual'!F$48,'Report - Financial Highlights'!$B$1:$D$1,0)),"")</f>
        <v/>
      </c>
      <c r="G50" s="46"/>
      <c r="H50" s="46"/>
    </row>
    <row r="51" spans="1:8" ht="15.75" customHeight="1" outlineLevel="1" collapsed="1" x14ac:dyDescent="0.3">
      <c r="A51" s="34" t="s">
        <v>16</v>
      </c>
      <c r="B51" s="46">
        <f>IFERROR(INDEX('Report - Financial Highlights'!$B$2:$D$16,MATCH(VLOOKUP('Report Actual'!$A51,Lookups!$I$2:$J$16,2,FALSE),'Report - Financial Highlights'!$A$2:$A$16,0),MATCH('Report Actual'!B$48,'Report - Financial Highlights'!$B$1:$D$1,0)),"")</f>
        <v>7129656</v>
      </c>
      <c r="C51" s="45" t="s">
        <v>36</v>
      </c>
      <c r="D51" s="46">
        <f>IFERROR(INDEX('Report - Financial Highlights'!$B$2:$D$16,MATCH(VLOOKUP('Report Actual'!$A51,Lookups!$I$2:$J$16,2,FALSE),'Report - Financial Highlights'!$A$2:$A$16,0),MATCH('Report Actual'!D$48,'Report - Financial Highlights'!$B$1:$D$1,0)),"")</f>
        <v>5773729</v>
      </c>
      <c r="E51" s="45" t="s">
        <v>36</v>
      </c>
      <c r="F51" s="46" t="str">
        <f>IFERROR(INDEX('Report - Financial Highlights'!$B$2:$D$16,MATCH(VLOOKUP('Report Actual'!$A51,Lookups!$I$2:$J$16,2,FALSE),'Report - Financial Highlights'!$A$2:$A$16,0),MATCH('Report Actual'!F$48,'Report - Financial Highlights'!$B$1:$D$1,0)),"")</f>
        <v/>
      </c>
      <c r="G51" s="46"/>
      <c r="H51" s="46"/>
    </row>
    <row r="52" spans="1:8" ht="15.75" customHeight="1" outlineLevel="1" collapsed="1" x14ac:dyDescent="0.3">
      <c r="A52" s="34" t="s">
        <v>37</v>
      </c>
      <c r="B52" s="46">
        <f>IFERROR(INDEX('Report - Financial Highlights'!$B$2:$D$16,MATCH(VLOOKUP('Report Actual'!$A52,Lookups!$I$2:$J$16,2,FALSE),'Report - Financial Highlights'!$A$2:$A$16,0),MATCH('Report Actual'!B$48,'Report - Financial Highlights'!$B$1:$D$1,0)),"")</f>
        <v>430433</v>
      </c>
      <c r="C52" s="45" t="s">
        <v>36</v>
      </c>
      <c r="D52" s="46">
        <f>IFERROR(INDEX('Report - Financial Highlights'!$B$2:$D$16,MATCH(VLOOKUP('Report Actual'!$A52,Lookups!$I$2:$J$16,2,FALSE),'Report - Financial Highlights'!$A$2:$A$16,0),MATCH('Report Actual'!D$48,'Report - Financial Highlights'!$B$1:$D$1,0)),"")</f>
        <v>0</v>
      </c>
      <c r="E52" s="45" t="s">
        <v>36</v>
      </c>
      <c r="F52" s="46" t="str">
        <f>IFERROR(INDEX('Report - Financial Highlights'!$B$2:$D$16,MATCH(VLOOKUP('Report Actual'!$A52,Lookups!$I$2:$J$16,2,FALSE),'Report - Financial Highlights'!$A$2:$A$16,0),MATCH('Report Actual'!F$48,'Report - Financial Highlights'!$B$1:$D$1,0)),"")</f>
        <v/>
      </c>
      <c r="G52" s="46"/>
      <c r="H52" s="46"/>
    </row>
    <row r="53" spans="1:8" ht="15.75" customHeight="1" outlineLevel="1" collapsed="1" x14ac:dyDescent="0.3">
      <c r="A53" s="28" t="s">
        <v>38</v>
      </c>
      <c r="B53" s="29"/>
      <c r="C53" s="29"/>
      <c r="D53" s="29"/>
      <c r="E53" s="29"/>
      <c r="F53" s="29"/>
      <c r="G53" s="29"/>
      <c r="H53" s="30"/>
    </row>
    <row r="54" spans="1:8" ht="15.75" customHeight="1" outlineLevel="1" collapsed="1" x14ac:dyDescent="0.3">
      <c r="A54" s="34" t="s">
        <v>14</v>
      </c>
      <c r="B54" s="117">
        <f>IFERROR(INDEX('Report - Financial Highlights'!$B$2:$D$16,MATCH(VLOOKUP('Report Actual'!$A54,Lookups!$I$2:$J$16,2,FALSE),'Report - Financial Highlights'!$A$2:$A$16,0),MATCH('Report Actual'!B$48,'Report - Financial Highlights'!$B$1:$D$1,0)),"")</f>
        <v>25636446</v>
      </c>
      <c r="C54" s="47" t="s">
        <v>36</v>
      </c>
      <c r="D54" s="46">
        <f>IFERROR(INDEX('Report - Financial Highlights'!$B$2:$D$16,MATCH(VLOOKUP('Report Actual'!$A54,Lookups!$I$2:$J$16,2,FALSE),'Report - Financial Highlights'!$A$2:$A$16,0),MATCH('Report Actual'!D$48,'Report - Financial Highlights'!$B$1:$D$1,0)),"")</f>
        <v>3809470</v>
      </c>
      <c r="E54" s="36" t="s">
        <v>36</v>
      </c>
      <c r="F54" s="46" t="str">
        <f>IFERROR(INDEX('Report - Financial Highlights'!$B$2:$D$16,MATCH(VLOOKUP('Report Actual'!$A54,Lookups!$I$2:$J$16,2,FALSE),'Report - Financial Highlights'!$A$2:$A$16,0),MATCH('Report Actual'!F$48,'Report - Financial Highlights'!$B$1:$D$1,0)),"")</f>
        <v/>
      </c>
    </row>
    <row r="55" spans="1:8" ht="15.75" customHeight="1" outlineLevel="1" collapsed="1" x14ac:dyDescent="0.3">
      <c r="A55" s="34" t="s">
        <v>15</v>
      </c>
      <c r="B55" s="46">
        <f>IFERROR(INDEX('Report - Financial Highlights'!$B$2:$D$16,MATCH(VLOOKUP('Report Actual'!$A55,Lookups!$I$2:$J$16,2,FALSE),'Report - Financial Highlights'!$A$2:$A$16,0),MATCH('Report Actual'!B$48,'Report - Financial Highlights'!$B$1:$D$1,0)),"")</f>
        <v>1713482</v>
      </c>
      <c r="C55" s="45" t="s">
        <v>36</v>
      </c>
      <c r="D55" s="46">
        <f>IFERROR(INDEX('Report - Financial Highlights'!$B$2:$D$16,MATCH(VLOOKUP('Report Actual'!$A55,Lookups!$I$2:$J$16,2,FALSE),'Report - Financial Highlights'!$A$2:$A$16,0),MATCH('Report Actual'!D$48,'Report - Financial Highlights'!$B$1:$D$1,0)),"")</f>
        <v>-334145</v>
      </c>
      <c r="E55" s="36" t="s">
        <v>36</v>
      </c>
      <c r="F55" s="46" t="str">
        <f>IFERROR(INDEX('Report - Financial Highlights'!$B$2:$D$16,MATCH(VLOOKUP('Report Actual'!$A55,Lookups!$I$2:$J$16,2,FALSE),'Report - Financial Highlights'!$A$2:$A$16,0),MATCH('Report Actual'!F$48,'Report - Financial Highlights'!$B$1:$D$1,0)),"")</f>
        <v/>
      </c>
    </row>
    <row r="56" spans="1:8" ht="15.75" customHeight="1" outlineLevel="1" collapsed="1" x14ac:dyDescent="0.3">
      <c r="A56" s="34" t="s">
        <v>399</v>
      </c>
      <c r="B56" s="46">
        <f>IFERROR(INDEX('Report - Financial Highlights'!$B$2:$D$16,MATCH(VLOOKUP('Report Actual'!$A56,Lookups!$I$2:$J$16,2,FALSE),'Report - Financial Highlights'!$A$2:$A$16,0),MATCH('Report Actual'!B$48,'Report - Financial Highlights'!$B$1:$D$1,0)),"")</f>
        <v>1642644</v>
      </c>
      <c r="C56" s="45" t="s">
        <v>36</v>
      </c>
      <c r="D56" s="46">
        <f>IFERROR(INDEX('Report - Financial Highlights'!$B$2:$D$16,MATCH(VLOOKUP('Report Actual'!$A56,Lookups!$I$2:$J$16,2,FALSE),'Report - Financial Highlights'!$A$2:$A$16,0),MATCH('Report Actual'!D$48,'Report - Financial Highlights'!$B$1:$D$1,0)),"")</f>
        <v>-374282</v>
      </c>
      <c r="E56" s="36" t="s">
        <v>36</v>
      </c>
      <c r="F56" s="46" t="str">
        <f>IFERROR(INDEX('Report - Financial Highlights'!$B$2:$D$16,MATCH(VLOOKUP('Report Actual'!$A56,Lookups!$I$2:$J$16,2,FALSE),'Report - Financial Highlights'!$A$2:$A$16,0),MATCH('Report Actual'!F$48,'Report - Financial Highlights'!$B$1:$D$1,0)),"")</f>
        <v/>
      </c>
    </row>
    <row r="57" spans="1:8" ht="15.75" customHeight="1" outlineLevel="1" collapsed="1" x14ac:dyDescent="0.3">
      <c r="A57" s="34" t="s">
        <v>39</v>
      </c>
      <c r="B57" s="46">
        <f>IFERROR(INDEX('Report - Financial Highlights'!$B$2:$D$16,MATCH(VLOOKUP('Report Actual'!$A57,Lookups!$I$2:$J$16,2,FALSE),'Report - Financial Highlights'!$A$2:$A$16,0),MATCH('Report Actual'!B$48,'Report - Financial Highlights'!$B$1:$D$1,0)),"")</f>
        <v>0</v>
      </c>
      <c r="C57" s="45" t="s">
        <v>36</v>
      </c>
      <c r="D57" s="46">
        <f>IFERROR(INDEX('Report - Financial Highlights'!$B$2:$D$16,MATCH(VLOOKUP('Report Actual'!$A57,Lookups!$I$2:$J$16,2,FALSE),'Report - Financial Highlights'!$A$2:$A$16,0),MATCH('Report Actual'!D$48,'Report - Financial Highlights'!$B$1:$D$1,0)),"")</f>
        <v>0</v>
      </c>
      <c r="E57" s="45" t="s">
        <v>36</v>
      </c>
      <c r="F57" s="46" t="str">
        <f>IFERROR(INDEX('Report - Financial Highlights'!$B$2:$D$16,MATCH(VLOOKUP('Report Actual'!$A57,Lookups!$I$2:$J$16,2,FALSE),'Report - Financial Highlights'!$A$2:$A$16,0),MATCH('Report Actual'!F$48,'Report - Financial Highlights'!$B$1:$D$1,0)),"")</f>
        <v/>
      </c>
      <c r="G57" s="46"/>
      <c r="H57" s="46"/>
    </row>
    <row r="58" spans="1:8" ht="15.75" customHeight="1" outlineLevel="1" collapsed="1" x14ac:dyDescent="0.3">
      <c r="A58" s="28" t="s">
        <v>40</v>
      </c>
      <c r="B58" s="29"/>
      <c r="C58" s="29"/>
      <c r="D58" s="29"/>
      <c r="E58" s="29"/>
      <c r="F58" s="29"/>
      <c r="G58" s="29"/>
      <c r="H58" s="30"/>
    </row>
    <row r="59" spans="1:8" ht="15.75" customHeight="1" outlineLevel="1" collapsed="1" x14ac:dyDescent="0.3">
      <c r="A59" s="34" t="s">
        <v>41</v>
      </c>
      <c r="B59" s="36" t="str">
        <f>IF(B$48="","","Not Available")</f>
        <v>Not Available</v>
      </c>
      <c r="C59" s="36" t="s">
        <v>36</v>
      </c>
      <c r="D59" s="36" t="str">
        <f>IF(D$48="","","Not Available")</f>
        <v>Not Available</v>
      </c>
      <c r="E59" s="36" t="s">
        <v>36</v>
      </c>
      <c r="F59" s="36" t="str">
        <f>IF(F$48="","","Not Available")</f>
        <v/>
      </c>
    </row>
    <row r="60" spans="1:8" ht="15.75" customHeight="1" outlineLevel="1" collapsed="1" x14ac:dyDescent="0.3">
      <c r="A60" s="34" t="s">
        <v>42</v>
      </c>
      <c r="B60" s="36" t="str">
        <f t="shared" ref="B60:F61" si="0">IF(B$48="","","Not Available")</f>
        <v>Not Available</v>
      </c>
      <c r="C60" s="36" t="s">
        <v>36</v>
      </c>
      <c r="D60" s="36" t="str">
        <f t="shared" si="0"/>
        <v>Not Available</v>
      </c>
      <c r="E60" s="36" t="s">
        <v>36</v>
      </c>
      <c r="F60" s="36" t="str">
        <f t="shared" si="0"/>
        <v/>
      </c>
    </row>
    <row r="61" spans="1:8" ht="15.75" customHeight="1" outlineLevel="1" collapsed="1" x14ac:dyDescent="0.3">
      <c r="A61" s="34" t="s">
        <v>43</v>
      </c>
      <c r="B61" s="36" t="str">
        <f t="shared" si="0"/>
        <v>Not Available</v>
      </c>
      <c r="C61" s="36" t="s">
        <v>36</v>
      </c>
      <c r="D61" s="36" t="str">
        <f t="shared" si="0"/>
        <v>Not Available</v>
      </c>
      <c r="E61" s="36" t="s">
        <v>36</v>
      </c>
      <c r="F61" s="36" t="str">
        <f t="shared" si="0"/>
        <v/>
      </c>
    </row>
    <row r="62" spans="1:8" ht="15.75" customHeight="1" outlineLevel="1" collapsed="1" x14ac:dyDescent="0.3">
      <c r="A62" s="28" t="s">
        <v>44</v>
      </c>
      <c r="B62" s="29"/>
      <c r="C62" s="29"/>
      <c r="D62" s="29"/>
      <c r="E62" s="29"/>
      <c r="F62" s="29"/>
      <c r="G62" s="29"/>
      <c r="H62" s="30"/>
    </row>
    <row r="63" spans="1:8" ht="15.75" customHeight="1" outlineLevel="1" collapsed="1" x14ac:dyDescent="0.3">
      <c r="A63" s="34" t="s">
        <v>45</v>
      </c>
      <c r="B63" s="76" t="str">
        <f>IFERROR(CONCATENATE(ROUND(INDEX('Report - Financial Highlights'!$B$2:$D$16,MATCH(VLOOKUP('Report Actual'!$A63,Lookups!$I$2:$J$16,2,FALSE),'Report - Financial Highlights'!$A$2:$A$16,0),MATCH('Report Actual'!B$48,'Report - Financial Highlights'!$B$1:$D$1,0)),2),"x"),"")</f>
        <v>2.96x</v>
      </c>
      <c r="C63" s="36" t="s">
        <v>36</v>
      </c>
      <c r="D63" s="76" t="str">
        <f>IFERROR(CONCATENATE(ROUND(INDEX('Report - Financial Highlights'!$B$2:$D$16,MATCH(VLOOKUP('Report Actual'!$A63,Lookups!$I$2:$J$16,2,FALSE),'Report - Financial Highlights'!$A$2:$A$16,0),MATCH('Report Actual'!D$48,'Report - Financial Highlights'!$B$1:$D$1,0)),2),"x"),"")</f>
        <v>150.11x</v>
      </c>
      <c r="E63" s="36" t="s">
        <v>36</v>
      </c>
      <c r="F63" s="76" t="str">
        <f>IFERROR(INDEX('Report - Financial Highlights'!$B$2:$D$16,MATCH(VLOOKUP('Report Actual'!$A63,Lookups!$I$2:$J$16,2,FALSE),'Report - Financial Highlights'!$A$2:$A$16,0),MATCH('Report Actual'!F$48,'Report - Financial Highlights'!$B$1:$D$1,0)),"")</f>
        <v/>
      </c>
      <c r="G63" s="50"/>
      <c r="H63" s="50"/>
    </row>
    <row r="64" spans="1:8" ht="15.75" customHeight="1" outlineLevel="1" collapsed="1" x14ac:dyDescent="0.3">
      <c r="A64" s="34" t="s">
        <v>46</v>
      </c>
      <c r="B64" s="118">
        <f>IFERROR(INDEX('Report - Financial Highlights'!$B$2:$D$16,MATCH(VLOOKUP('Report Actual'!$A64,Lookups!$I$2:$J$16,2,FALSE),'Report - Financial Highlights'!$A$2:$A$16,0),MATCH('Report Actual'!B$48,'Report - Financial Highlights'!$B$1:$D$1,0)),"")</f>
        <v>2.3799361394293768</v>
      </c>
      <c r="C64" s="36" t="s">
        <v>36</v>
      </c>
      <c r="D64" s="118">
        <f>IFERROR(INDEX('Report - Financial Highlights'!$B$2:$D$16,MATCH(VLOOKUP('Report Actual'!$A64,Lookups!$I$2:$J$16,2,FALSE),'Report - Financial Highlights'!$A$2:$A$16,0),MATCH('Report Actual'!D$48,'Report - Financial Highlights'!$B$1:$D$1,0)),"")</f>
        <v>0.65539832600710546</v>
      </c>
      <c r="E64" s="36" t="s">
        <v>36</v>
      </c>
      <c r="F64" s="118" t="str">
        <f>IFERROR(INDEX('Report - Financial Highlights'!$B$2:$D$16,MATCH(VLOOKUP('Report Actual'!$A64,Lookups!$I$2:$J$16,2,FALSE),'Report - Financial Highlights'!$A$2:$A$16,0),MATCH('Report Actual'!F$48,'Report - Financial Highlights'!$B$1:$D$1,0)),"")</f>
        <v/>
      </c>
    </row>
    <row r="65" spans="1:8" ht="15.75" customHeight="1" outlineLevel="1" collapsed="1" x14ac:dyDescent="0.3">
      <c r="A65" s="34" t="s">
        <v>47</v>
      </c>
      <c r="B65" s="118">
        <f>IFERROR(INDEX('Report - Financial Highlights'!$B$2:$D$16,MATCH(VLOOKUP('Report Actual'!$A65,Lookups!$I$2:$J$16,2,FALSE),'Report - Financial Highlights'!$A$2:$A$16,0),MATCH('Report Actual'!B$48,'Report - Financial Highlights'!$B$1:$D$1,0)),"")</f>
        <v>6.6837735620608255E-2</v>
      </c>
      <c r="C65" s="36" t="s">
        <v>36</v>
      </c>
      <c r="D65" s="118">
        <f>IFERROR(INDEX('Report - Financial Highlights'!$B$2:$D$16,MATCH(VLOOKUP('Report Actual'!$A65,Lookups!$I$2:$J$16,2,FALSE),'Report - Financial Highlights'!$A$2:$A$16,0),MATCH('Report Actual'!D$48,'Report - Financial Highlights'!$B$1:$D$1,0)),"")</f>
        <v>-8.771430146450819E-2</v>
      </c>
      <c r="E65" s="36" t="s">
        <v>36</v>
      </c>
      <c r="F65" s="118" t="str">
        <f>IFERROR(INDEX('Report - Financial Highlights'!$B$2:$D$16,MATCH(VLOOKUP('Report Actual'!$A65,Lookups!$I$2:$J$16,2,FALSE),'Report - Financial Highlights'!$A$2:$A$16,0),MATCH('Report Actual'!F$48,'Report - Financial Highlights'!$B$1:$D$1,0)),"")</f>
        <v/>
      </c>
    </row>
    <row r="66" spans="1:8" ht="15.75" customHeight="1" outlineLevel="1" collapsed="1" x14ac:dyDescent="0.3">
      <c r="A66" s="34" t="s">
        <v>48</v>
      </c>
      <c r="B66" s="76" t="str">
        <f>IFERROR(CONCATENATE(ROUND(INDEX('Report - Financial Highlights'!$B$2:$D$16,MATCH(VLOOKUP('Report Actual'!$A66,Lookups!$I$2:$J$16,2,FALSE),'Report - Financial Highlights'!$A$2:$A$16,0),MATCH('Report Actual'!B$48,'Report - Financial Highlights'!$B$1:$D$1,0)),2),"x"),"")</f>
        <v>0.25x</v>
      </c>
      <c r="C66" s="36" t="s">
        <v>36</v>
      </c>
      <c r="D66" s="76" t="str">
        <f>IFERROR(CONCATENATE(ROUND(INDEX('Report - Financial Highlights'!$B$2:$D$16,MATCH(VLOOKUP('Report Actual'!$A66,Lookups!$I$2:$J$16,2,FALSE),'Report - Financial Highlights'!$A$2:$A$16,0),MATCH('Report Actual'!D$48,'Report - Financial Highlights'!$B$1:$D$1,0)),2),"x"),"")</f>
        <v>0x</v>
      </c>
      <c r="E66" s="36" t="s">
        <v>36</v>
      </c>
      <c r="F66" s="76" t="str">
        <f>IFERROR(INDEX('Report - Financial Highlights'!$B$2:$D$16,MATCH(VLOOKUP('Report Actual'!$A66,Lookups!$I$2:$J$16,2,FALSE),'Report - Financial Highlights'!$A$2:$A$16,0),MATCH('Report Actual'!F$48,'Report - Financial Highlights'!$B$1:$D$1,0)),"")</f>
        <v/>
      </c>
    </row>
    <row r="67" spans="1:8" ht="15.75" customHeight="1" outlineLevel="1" collapsed="1" x14ac:dyDescent="0.3">
      <c r="A67" s="37" t="s">
        <v>49</v>
      </c>
      <c r="B67" s="119">
        <f>IFERROR(INDEX('Report - Financial Highlights'!$B$2:$D$16,MATCH(VLOOKUP('Report Actual'!$A67,Lookups!$I$2:$J$16,2,FALSE),'Report - Financial Highlights'!$A$2:$A$16,0),MATCH('Report Actual'!B$48,'Report - Financial Highlights'!$B$1:$D$1,0)),"")</f>
        <v>0.24638764380914754</v>
      </c>
      <c r="C67" s="38" t="s">
        <v>36</v>
      </c>
      <c r="D67" s="119">
        <f>IFERROR(INDEX('Report - Financial Highlights'!$B$2:$D$16,MATCH(VLOOKUP('Report Actual'!$A67,Lookups!$I$2:$J$16,2,FALSE),'Report - Financial Highlights'!$A$2:$A$16,0),MATCH('Report Actual'!D$48,'Report - Financial Highlights'!$B$1:$D$1,0)),"")</f>
        <v>-6.4825003043959981E-2</v>
      </c>
      <c r="E67" s="38" t="s">
        <v>36</v>
      </c>
      <c r="F67" s="119" t="str">
        <f>IFERROR(INDEX('Report - Financial Highlights'!$B$2:$D$16,MATCH(VLOOKUP('Report Actual'!$A67,Lookups!$I$2:$J$16,2,FALSE),'Report - Financial Highlights'!$A$2:$A$16,0),MATCH('Report Actual'!F$48,'Report - Financial Highlights'!$B$1:$D$1,0)),"")</f>
        <v/>
      </c>
      <c r="G67" s="18"/>
      <c r="H67" s="18"/>
    </row>
    <row r="69" spans="1:8" ht="15.75" customHeight="1" x14ac:dyDescent="0.3">
      <c r="A69" s="3" t="s">
        <v>50</v>
      </c>
      <c r="B69" s="4"/>
      <c r="C69" s="4"/>
      <c r="D69" s="4"/>
      <c r="E69" s="4"/>
      <c r="F69" s="4"/>
      <c r="G69" s="4"/>
      <c r="H69" s="4"/>
    </row>
    <row r="70" spans="1:8" s="16" customFormat="1" ht="15.75" customHeight="1" outlineLevel="1" collapsed="1" x14ac:dyDescent="0.3">
      <c r="A70" s="51" t="s">
        <v>30</v>
      </c>
      <c r="B70" s="52" t="str">
        <f>B48</f>
        <v>2025-02-28</v>
      </c>
      <c r="C70" s="53"/>
      <c r="D70" s="52" t="str">
        <f>D48</f>
        <v>2024-02-28</v>
      </c>
      <c r="E70" s="53"/>
      <c r="F70" s="52" t="str">
        <f>F48</f>
        <v/>
      </c>
      <c r="G70" s="52"/>
      <c r="H70" s="54"/>
    </row>
    <row r="71" spans="1:8" ht="15.75" customHeight="1" outlineLevel="1" collapsed="1" x14ac:dyDescent="0.3">
      <c r="A71" s="28" t="s">
        <v>51</v>
      </c>
      <c r="B71" s="55"/>
      <c r="C71" s="56"/>
      <c r="D71" s="55"/>
      <c r="E71" s="56"/>
      <c r="F71" s="55"/>
      <c r="G71" s="55"/>
      <c r="H71" s="57"/>
    </row>
    <row r="72" spans="1:8" ht="15.75" customHeight="1" outlineLevel="1" collapsed="1" x14ac:dyDescent="0.3">
      <c r="A72" s="34" t="s">
        <v>52</v>
      </c>
      <c r="B72" s="118">
        <f>IFERROR(INDEX('Report - Model Drivers'!$B$2:$D$21,MATCH(VLOOKUP('Report Actual'!$A72,Lookups!$Q$2:$R$11,2,FALSE),'Report - Model Drivers'!$A$2:$A$21,0),MATCH('Report Actual'!B$70,'Report - Model Drivers'!$B$1:$D$1,0)),"")</f>
        <v>0.37897215023712144</v>
      </c>
      <c r="C72" s="36" t="s">
        <v>36</v>
      </c>
      <c r="D72" s="118">
        <f>IFERROR(INDEX('Report - Model Drivers'!$B$2:$D$21,MATCH(VLOOKUP('Report Actual'!$A72,Lookups!$Q$2:$R$11,2,FALSE),'Report - Model Drivers'!$A$2:$A$21,0),MATCH('Report Actual'!D$70,'Report - Model Drivers'!$B$1:$D$1,0)),"")</f>
        <v>8.1712014727008411E-2</v>
      </c>
      <c r="E72" s="58" t="s">
        <v>36</v>
      </c>
      <c r="F72" s="84" t="str">
        <f>IFERROR(INDEX('Report - Model Drivers'!$B$2:$D$21,MATCH(VLOOKUP('Report Actual'!$A72,Lookups!$Q$2:$R$11,2,FALSE),'Report - Model Drivers'!$A$2:$A$21,0),MATCH('Report Actual'!F$70,'Report - Model Drivers'!$B$1:$D$1,0)),"")</f>
        <v/>
      </c>
      <c r="G72" s="59"/>
      <c r="H72" s="59"/>
    </row>
    <row r="73" spans="1:8" ht="15.75" customHeight="1" outlineLevel="1" collapsed="1" x14ac:dyDescent="0.3">
      <c r="A73" s="34" t="s">
        <v>53</v>
      </c>
      <c r="B73" s="76" t="str">
        <f>IFERROR(CONCATENATE(ROUND(INDEX('Report - Model Drivers'!$B$2:$D$21,MATCH(VLOOKUP('Report Actual'!$A73,Lookups!$Q$2:$R$11,2,FALSE),'Report - Model Drivers'!$A$2:$A$21,0),MATCH('Report Actual'!B$70,'Report - Model Drivers'!$B$1:$D$1,0)),2),"x"),"")</f>
        <v>1.87x</v>
      </c>
      <c r="C73" s="36" t="s">
        <v>36</v>
      </c>
      <c r="D73" s="76" t="str">
        <f>IFERROR(CONCATENATE(ROUND(INDEX('Report - Model Drivers'!$B$2:$D$21,MATCH(VLOOKUP('Report Actual'!$A73,Lookups!$Q$2:$R$11,2,FALSE),'Report - Model Drivers'!$A$2:$A$21,0),MATCH('Report Actual'!D$70,'Report - Model Drivers'!$B$1:$D$1,0)),2),"x"),"")</f>
        <v>34.22x</v>
      </c>
      <c r="E73" s="36" t="s">
        <v>36</v>
      </c>
      <c r="F73" s="49" t="str">
        <f>IFERROR(CONCATENATE(ROUND(INDEX('Report - Model Drivers'!$B$2:$D$21,MATCH(VLOOKUP('Report Actual'!$A73,Lookups!$Q$2:$R$11,2,FALSE),'Report - Model Drivers'!$A$2:$A$21,0),MATCH('Report Actual'!F$70,'Report - Model Drivers'!$B$1:$D$1,0)),2),"x"),"")</f>
        <v/>
      </c>
    </row>
    <row r="74" spans="1:8" ht="15.75" customHeight="1" outlineLevel="1" collapsed="1" x14ac:dyDescent="0.3">
      <c r="A74" s="34" t="s">
        <v>54</v>
      </c>
      <c r="B74" s="118">
        <f>IFERROR(INDEX('Report - Model Drivers'!$B$2:$D$21,MATCH(VLOOKUP('Report Actual'!$A74,Lookups!$Q$2:$R$11,2,FALSE),'Report - Model Drivers'!$A$2:$A$21,0),MATCH('Report Actual'!B$70,'Report - Model Drivers'!$B$1:$D$1,0)),"")</f>
        <v>0</v>
      </c>
      <c r="C74" s="36" t="s">
        <v>36</v>
      </c>
      <c r="D74" s="118">
        <f>IFERROR(INDEX('Report - Model Drivers'!$B$2:$D$21,MATCH(VLOOKUP('Report Actual'!$A74,Lookups!$Q$2:$R$11,2,FALSE),'Report - Model Drivers'!$A$2:$A$21,0),MATCH('Report Actual'!D$70,'Report - Model Drivers'!$B$1:$D$1,0)),"")</f>
        <v>0</v>
      </c>
      <c r="E74" s="58" t="s">
        <v>36</v>
      </c>
      <c r="F74" s="84" t="str">
        <f>IFERROR(INDEX('Report - Model Drivers'!$B$2:$D$21,MATCH(VLOOKUP('Report Actual'!$A74,Lookups!$Q$2:$R$11,2,FALSE),'Report - Model Drivers'!$A$2:$A$21,0),MATCH('Report Actual'!F$70,'Report - Model Drivers'!$B$1:$D$1,0)),"")</f>
        <v/>
      </c>
      <c r="G74" s="59"/>
      <c r="H74" s="59"/>
    </row>
    <row r="75" spans="1:8" ht="15.75" customHeight="1" outlineLevel="1" collapsed="1" x14ac:dyDescent="0.3">
      <c r="A75" s="34" t="s">
        <v>55</v>
      </c>
      <c r="B75" s="118">
        <f>IFERROR(INDEX('Report - Model Drivers'!$B$2:$D$21,MATCH(VLOOKUP('Report Actual'!$A75,Lookups!$Q$2:$R$11,2,FALSE),'Report - Model Drivers'!$A$2:$A$21,0),MATCH('Report Actual'!B$70,'Report - Model Drivers'!$B$1:$D$1,0)),"")</f>
        <v>0.1524933612021272</v>
      </c>
      <c r="C75" s="36" t="s">
        <v>36</v>
      </c>
      <c r="D75" s="118">
        <f>IFERROR(INDEX('Report - Model Drivers'!$B$2:$D$21,MATCH(VLOOKUP('Report Actual'!$A75,Lookups!$Q$2:$R$11,2,FALSE),'Report - Model Drivers'!$A$2:$A$21,0),MATCH('Report Actual'!D$70,'Report - Model Drivers'!$B$1:$D$1,0)),"")</f>
        <v>-6.4393156070159746E-2</v>
      </c>
      <c r="E75" s="58" t="s">
        <v>36</v>
      </c>
      <c r="F75" s="84" t="str">
        <f>IFERROR(INDEX('Report - Model Drivers'!$B$2:$D$21,MATCH(VLOOKUP('Report Actual'!$A75,Lookups!$Q$2:$R$11,2,FALSE),'Report - Model Drivers'!$A$2:$A$21,0),MATCH('Report Actual'!F$70,'Report - Model Drivers'!$B$1:$D$1,0)),"")</f>
        <v/>
      </c>
      <c r="G75" s="59"/>
      <c r="H75" s="59"/>
    </row>
    <row r="76" spans="1:8" ht="15.75" customHeight="1" outlineLevel="1" collapsed="1" x14ac:dyDescent="0.3">
      <c r="A76" s="34" t="s">
        <v>56</v>
      </c>
      <c r="B76" s="118">
        <f>IFERROR(INDEX('Report - Model Drivers'!$B$2:$D$21,MATCH(VLOOKUP('Report Actual'!$A76,Lookups!$Q$2:$R$11,2,FALSE),'Report - Model Drivers'!$A$2:$A$21,0),MATCH('Report Actual'!B$70,'Report - Model Drivers'!$B$1:$D$1,0)),"")</f>
        <v>-6.4393156070159746E-2</v>
      </c>
      <c r="C76" s="36" t="s">
        <v>36</v>
      </c>
      <c r="D76" s="118">
        <f>IFERROR(INDEX('Report - Model Drivers'!$B$2:$D$21,MATCH(VLOOKUP('Report Actual'!$A76,Lookups!$Q$2:$R$11,2,FALSE),'Report - Model Drivers'!$A$2:$A$21,0),MATCH('Report Actual'!D$70,'Report - Model Drivers'!$B$1:$D$1,0)),"")</f>
        <v>0</v>
      </c>
      <c r="E76" s="58" t="s">
        <v>36</v>
      </c>
      <c r="F76" s="84" t="str">
        <f>IFERROR(INDEX('Report - Model Drivers'!$B$2:$D$21,MATCH(VLOOKUP('Report Actual'!$A76,Lookups!$Q$2:$R$11,2,FALSE),'Report - Model Drivers'!$A$2:$A$21,0),MATCH('Report Actual'!F$70,'Report - Model Drivers'!$B$1:$D$1,0)),"")</f>
        <v/>
      </c>
      <c r="G76" s="59"/>
      <c r="H76" s="59"/>
    </row>
    <row r="77" spans="1:8" ht="15.75" customHeight="1" outlineLevel="1" collapsed="1" x14ac:dyDescent="0.3">
      <c r="A77" s="34" t="s">
        <v>57</v>
      </c>
      <c r="B77" s="45">
        <f>IFERROR(INDEX('Report - Model Drivers'!$B$2:$D$21,MATCH(VLOOKUP('Report Actual'!$A77,Lookups!$Q$2:$R$11,2,FALSE),'Report - Model Drivers'!$A$2:$A$21,0),MATCH('Report Actual'!B$70,'Report - Model Drivers'!$B$1:$D$1,0)),"")</f>
        <v>423.41184828071687</v>
      </c>
      <c r="C77" s="45" t="s">
        <v>36</v>
      </c>
      <c r="D77" s="45">
        <f>IFERROR(INDEX('Report - Model Drivers'!$B$2:$D$21,MATCH(VLOOKUP('Report Actual'!$A77,Lookups!$Q$2:$R$11,2,FALSE),'Report - Model Drivers'!$A$2:$A$21,0),MATCH('Report Actual'!D$70,'Report - Model Drivers'!$B$1:$D$1,0)),"")</f>
        <v>227.78414877809271</v>
      </c>
      <c r="E77" s="36" t="s">
        <v>36</v>
      </c>
      <c r="F77" s="48" t="str">
        <f>IFERROR(INDEX('Report - Model Drivers'!$B$2:$D$21,MATCH(VLOOKUP('Report Actual'!$A77,Lookups!$Q$2:$R$11,2,FALSE),'Report - Model Drivers'!$A$2:$A$21,0),MATCH('Report Actual'!F$70,'Report - Model Drivers'!$B$1:$D$1,0)),"")</f>
        <v/>
      </c>
    </row>
    <row r="78" spans="1:8" ht="15.75" customHeight="1" outlineLevel="1" collapsed="1" x14ac:dyDescent="0.3">
      <c r="A78" s="34" t="s">
        <v>58</v>
      </c>
      <c r="B78" s="76" t="str">
        <f>IFERROR(CONCATENATE(ROUND(INDEX('Report - Model Drivers'!$B$2:$D$21,MATCH(VLOOKUP('Report Actual'!$A78,Lookups!$Q$2:$R$11,2,FALSE),'Report - Model Drivers'!$A$2:$A$21,0),MATCH('Report Actual'!B$70,'Report - Model Drivers'!$B$1:$D$1,0)),2),"x"),"")</f>
        <v>0x</v>
      </c>
      <c r="C78" s="36" t="s">
        <v>36</v>
      </c>
      <c r="D78" s="76" t="str">
        <f>IFERROR(CONCATENATE(ROUND(INDEX('Report - Model Drivers'!$B$2:$D$21,MATCH(VLOOKUP('Report Actual'!$A78,Lookups!$Q$2:$R$11,2,FALSE),'Report - Model Drivers'!$A$2:$A$21,0),MATCH('Report Actual'!D$70,'Report - Model Drivers'!$B$1:$D$1,0)),2),"x"),"")</f>
        <v>0x</v>
      </c>
      <c r="E78" s="36" t="s">
        <v>36</v>
      </c>
      <c r="F78" s="49" t="str">
        <f>IFERROR(CONCATENATE(ROUND(INDEX('Report - Model Drivers'!$B$2:$D$21,MATCH(VLOOKUP('Report Actual'!$A78,Lookups!$Q$2:$R$11,2,FALSE),'Report - Model Drivers'!$A$2:$A$21,0),MATCH('Report Actual'!F$70,'Report - Model Drivers'!$B$1:$D$1,0)),2),"x"),"")</f>
        <v/>
      </c>
    </row>
    <row r="79" spans="1:8" ht="15.75" customHeight="1" outlineLevel="1" collapsed="1" x14ac:dyDescent="0.3">
      <c r="A79" s="34" t="s">
        <v>59</v>
      </c>
      <c r="B79" s="118">
        <f>IFERROR(INDEX('Report - Model Drivers'!$B$2:$D$21,MATCH(VLOOKUP('Report Actual'!$A79,Lookups!$Q$2:$R$11,2,FALSE),'Report - Model Drivers'!$A$2:$A$21,0),MATCH('Report Actual'!B$70,'Report - Model Drivers'!$B$1:$D$1,0)),"")</f>
        <v>0.3381248720630195</v>
      </c>
      <c r="C79" s="36" t="s">
        <v>36</v>
      </c>
      <c r="D79" s="118">
        <f>IFERROR(INDEX('Report - Model Drivers'!$B$2:$D$21,MATCH(VLOOKUP('Report Actual'!$A79,Lookups!$Q$2:$R$11,2,FALSE),'Report - Model Drivers'!$A$2:$A$21,0),MATCH('Report Actual'!D$70,'Report - Model Drivers'!$B$1:$D$1,0)),"")</f>
        <v>6.661734724599782E-3</v>
      </c>
      <c r="E79" s="58" t="s">
        <v>36</v>
      </c>
      <c r="F79" s="84" t="str">
        <f>IFERROR(INDEX('Report - Model Drivers'!$B$2:$D$21,MATCH(VLOOKUP('Report Actual'!$A79,Lookups!$Q$2:$R$11,2,FALSE),'Report - Model Drivers'!$A$2:$A$21,0),MATCH('Report Actual'!F$70,'Report - Model Drivers'!$B$1:$D$1,0)),"")</f>
        <v/>
      </c>
      <c r="G79" s="59"/>
      <c r="H79" s="59"/>
    </row>
    <row r="80" spans="1:8" ht="15.75" customHeight="1" outlineLevel="1" collapsed="1" x14ac:dyDescent="0.3">
      <c r="A80" s="34" t="s">
        <v>60</v>
      </c>
      <c r="B80" s="118">
        <f>IFERROR(INDEX('Report - Model Drivers'!$B$2:$D$21,MATCH(VLOOKUP('Report Actual'!$A80,Lookups!$Q$2:$R$11,2,FALSE),'Report - Model Drivers'!$A$2:$A$21,0),MATCH('Report Actual'!B$70,'Report - Model Drivers'!$B$1:$D$1,0)),"")</f>
        <v>0</v>
      </c>
      <c r="C80" s="36" t="s">
        <v>36</v>
      </c>
      <c r="D80" s="118">
        <f>IFERROR(INDEX('Report - Model Drivers'!$B$2:$D$21,MATCH(VLOOKUP('Report Actual'!$A80,Lookups!$Q$2:$R$11,2,FALSE),'Report - Model Drivers'!$A$2:$A$21,0),MATCH('Report Actual'!D$70,'Report - Model Drivers'!$B$1:$D$1,0)),"")</f>
        <v>0</v>
      </c>
      <c r="E80" s="58" t="s">
        <v>36</v>
      </c>
      <c r="F80" s="84" t="str">
        <f>IFERROR(INDEX('Report - Model Drivers'!$B$2:$D$21,MATCH(VLOOKUP('Report Actual'!$A80,Lookups!$Q$2:$R$11,2,FALSE),'Report - Model Drivers'!$A$2:$A$21,0),MATCH('Report Actual'!F$70,'Report - Model Drivers'!$B$1:$D$1,0)),"")</f>
        <v/>
      </c>
      <c r="G80" s="59"/>
      <c r="H80" s="59"/>
    </row>
    <row r="81" spans="1:8" ht="15.75" customHeight="1" outlineLevel="1" collapsed="1" x14ac:dyDescent="0.3">
      <c r="A81" s="34" t="s">
        <v>61</v>
      </c>
      <c r="B81" s="118">
        <f>IFERROR(INDEX('Report - Model Drivers'!$B$2:$D$21,MATCH(VLOOKUP('Report Actual'!$A81,Lookups!$Q$2:$R$11,2,FALSE),'Report - Model Drivers'!$A$2:$A$21,0),MATCH('Report Actual'!B$70,'Report - Model Drivers'!$B$1:$D$1,0)),"")</f>
        <v>0</v>
      </c>
      <c r="C81" s="36" t="s">
        <v>36</v>
      </c>
      <c r="D81" s="118">
        <f>IFERROR(INDEX('Report - Model Drivers'!$B$2:$D$21,MATCH(VLOOKUP('Report Actual'!$A81,Lookups!$Q$2:$R$11,2,FALSE),'Report - Model Drivers'!$A$2:$A$21,0),MATCH('Report Actual'!D$70,'Report - Model Drivers'!$B$1:$D$1,0)),"")</f>
        <v>0</v>
      </c>
      <c r="E81" s="58" t="s">
        <v>36</v>
      </c>
      <c r="F81" s="84" t="str">
        <f>IFERROR(INDEX('Report - Model Drivers'!$B$2:$D$21,MATCH(VLOOKUP('Report Actual'!$A81,Lookups!$Q$2:$R$11,2,FALSE),'Report - Model Drivers'!$A$2:$A$21,0),MATCH('Report Actual'!F$70,'Report - Model Drivers'!$B$1:$D$1,0)),"")</f>
        <v/>
      </c>
      <c r="G81" s="59"/>
      <c r="H81" s="59"/>
    </row>
    <row r="82" spans="1:8" s="16" customFormat="1" ht="15.75" customHeight="1" outlineLevel="1" collapsed="1" x14ac:dyDescent="0.3">
      <c r="A82" s="28" t="s">
        <v>62</v>
      </c>
      <c r="B82" s="55"/>
      <c r="C82" s="56"/>
      <c r="D82" s="55"/>
      <c r="E82" s="56"/>
      <c r="F82" s="55"/>
      <c r="G82" s="55"/>
      <c r="H82" s="57"/>
    </row>
    <row r="83" spans="1:8" ht="15.75" customHeight="1" outlineLevel="1" collapsed="1" x14ac:dyDescent="0.3">
      <c r="A83" s="34" t="s">
        <v>52</v>
      </c>
      <c r="B83" s="45">
        <f>IFERROR(INDEX('Report - Model Drivers'!$B$2:$D$21,MATCH(VLOOKUP('Report Actual'!$A83,Lookups!$T$2:$U$11,2,FALSE),'Report - Model Drivers'!$A$2:$A$21,0),MATCH('Report Actual'!B$70,'Report - Model Drivers'!$B$1:$D$1,0)),"")</f>
        <v>1</v>
      </c>
      <c r="C83" s="60" t="s">
        <v>36</v>
      </c>
      <c r="D83" s="45">
        <f>IFERROR(INDEX('Report - Model Drivers'!$B$2:$D$21,MATCH(VLOOKUP('Report Actual'!$A83,Lookups!$T$2:$U$11,2,FALSE),'Report - Model Drivers'!$A$2:$A$21,0),MATCH('Report Actual'!D$70,'Report - Model Drivers'!$B$1:$D$1,0)),"")</f>
        <v>3</v>
      </c>
      <c r="E83" s="60" t="s">
        <v>36</v>
      </c>
      <c r="F83" s="45" t="str">
        <f>IFERROR(INDEX('Report - Model Drivers'!$B$2:$D$21,MATCH(VLOOKUP('Report Actual'!$A83,Lookups!$T$2:$U$11,2,FALSE),'Report - Model Drivers'!$A$2:$A$21,0),MATCH('Report Actual'!F$70,'Report - Model Drivers'!$B$1:$D$1,0)),"")</f>
        <v/>
      </c>
      <c r="G83" s="61"/>
      <c r="H83" s="61"/>
    </row>
    <row r="84" spans="1:8" ht="15.75" customHeight="1" outlineLevel="1" collapsed="1" x14ac:dyDescent="0.3">
      <c r="A84" s="34" t="s">
        <v>53</v>
      </c>
      <c r="B84" s="45">
        <f>IFERROR(INDEX('Report - Model Drivers'!$B$2:$D$21,MATCH(VLOOKUP('Report Actual'!$A84,Lookups!$T$2:$U$11,2,FALSE),'Report - Model Drivers'!$A$2:$A$21,0),MATCH('Report Actual'!B$70,'Report - Model Drivers'!$B$1:$D$1,0)),"")</f>
        <v>3</v>
      </c>
      <c r="C84" s="60" t="s">
        <v>36</v>
      </c>
      <c r="D84" s="45">
        <f>IFERROR(INDEX('Report - Model Drivers'!$B$2:$D$21,MATCH(VLOOKUP('Report Actual'!$A84,Lookups!$T$2:$U$11,2,FALSE),'Report - Model Drivers'!$A$2:$A$21,0),MATCH('Report Actual'!D$70,'Report - Model Drivers'!$B$1:$D$1,0)),"")</f>
        <v>1</v>
      </c>
      <c r="E84" s="60" t="s">
        <v>36</v>
      </c>
      <c r="F84" s="45" t="str">
        <f>IFERROR(INDEX('Report - Model Drivers'!$B$2:$D$21,MATCH(VLOOKUP('Report Actual'!$A84,Lookups!$T$2:$U$11,2,FALSE),'Report - Model Drivers'!$A$2:$A$21,0),MATCH('Report Actual'!F$70,'Report - Model Drivers'!$B$1:$D$1,0)),"")</f>
        <v/>
      </c>
      <c r="G84" s="61"/>
      <c r="H84" s="61"/>
    </row>
    <row r="85" spans="1:8" ht="15.75" customHeight="1" outlineLevel="1" collapsed="1" x14ac:dyDescent="0.3">
      <c r="A85" s="34" t="s">
        <v>54</v>
      </c>
      <c r="B85" s="45">
        <f>IFERROR(INDEX('Report - Model Drivers'!$B$2:$D$21,MATCH(VLOOKUP('Report Actual'!$A85,Lookups!$T$2:$U$11,2,FALSE),'Report - Model Drivers'!$A$2:$A$21,0),MATCH('Report Actual'!B$70,'Report - Model Drivers'!$B$1:$D$1,0)),"")</f>
        <v>4</v>
      </c>
      <c r="C85" s="60" t="s">
        <v>36</v>
      </c>
      <c r="D85" s="45">
        <f>IFERROR(INDEX('Report - Model Drivers'!$B$2:$D$21,MATCH(VLOOKUP('Report Actual'!$A85,Lookups!$T$2:$U$11,2,FALSE),'Report - Model Drivers'!$A$2:$A$21,0),MATCH('Report Actual'!D$70,'Report - Model Drivers'!$B$1:$D$1,0)),"")</f>
        <v>4</v>
      </c>
      <c r="E85" s="60" t="s">
        <v>36</v>
      </c>
      <c r="F85" s="45" t="str">
        <f>IFERROR(INDEX('Report - Model Drivers'!$B$2:$D$21,MATCH(VLOOKUP('Report Actual'!$A85,Lookups!$T$2:$U$11,2,FALSE),'Report - Model Drivers'!$A$2:$A$21,0),MATCH('Report Actual'!F$70,'Report - Model Drivers'!$B$1:$D$1,0)),"")</f>
        <v/>
      </c>
      <c r="G85" s="61"/>
      <c r="H85" s="61"/>
    </row>
    <row r="86" spans="1:8" ht="15.75" customHeight="1" outlineLevel="1" collapsed="1" x14ac:dyDescent="0.3">
      <c r="A86" s="34" t="s">
        <v>55</v>
      </c>
      <c r="B86" s="45">
        <f>IFERROR(INDEX('Report - Model Drivers'!$B$2:$D$21,MATCH(VLOOKUP('Report Actual'!$A86,Lookups!$T$2:$U$11,2,FALSE),'Report - Model Drivers'!$A$2:$A$21,0),MATCH('Report Actual'!B$70,'Report - Model Drivers'!$B$1:$D$1,0)),"")</f>
        <v>3</v>
      </c>
      <c r="C86" s="60" t="s">
        <v>36</v>
      </c>
      <c r="D86" s="45">
        <f>IFERROR(INDEX('Report - Model Drivers'!$B$2:$D$21,MATCH(VLOOKUP('Report Actual'!$A86,Lookups!$T$2:$U$11,2,FALSE),'Report - Model Drivers'!$A$2:$A$21,0),MATCH('Report Actual'!D$70,'Report - Model Drivers'!$B$1:$D$1,0)),"")</f>
        <v>10</v>
      </c>
      <c r="E86" s="60" t="s">
        <v>36</v>
      </c>
      <c r="F86" s="45" t="str">
        <f>IFERROR(INDEX('Report - Model Drivers'!$B$2:$D$21,MATCH(VLOOKUP('Report Actual'!$A86,Lookups!$T$2:$U$11,2,FALSE),'Report - Model Drivers'!$A$2:$A$21,0),MATCH('Report Actual'!F$70,'Report - Model Drivers'!$B$1:$D$1,0)),"")</f>
        <v/>
      </c>
      <c r="G86" s="61"/>
      <c r="H86" s="61"/>
    </row>
    <row r="87" spans="1:8" ht="15.75" customHeight="1" outlineLevel="1" collapsed="1" x14ac:dyDescent="0.3">
      <c r="A87" s="34" t="s">
        <v>56</v>
      </c>
      <c r="B87" s="45">
        <f>IFERROR(INDEX('Report - Model Drivers'!$B$2:$D$21,MATCH(VLOOKUP('Report Actual'!$A87,Lookups!$T$2:$U$11,2,FALSE),'Report - Model Drivers'!$A$2:$A$21,0),MATCH('Report Actual'!B$70,'Report - Model Drivers'!$B$1:$D$1,0)),"")</f>
        <v>10</v>
      </c>
      <c r="C87" s="60" t="s">
        <v>36</v>
      </c>
      <c r="D87" s="45">
        <f>IFERROR(INDEX('Report - Model Drivers'!$B$2:$D$21,MATCH(VLOOKUP('Report Actual'!$A87,Lookups!$T$2:$U$11,2,FALSE),'Report - Model Drivers'!$A$2:$A$21,0),MATCH('Report Actual'!D$70,'Report - Model Drivers'!$B$1:$D$1,0)),"")</f>
        <v>8</v>
      </c>
      <c r="E87" s="60" t="s">
        <v>36</v>
      </c>
      <c r="F87" s="45" t="str">
        <f>IFERROR(INDEX('Report - Model Drivers'!$B$2:$D$21,MATCH(VLOOKUP('Report Actual'!$A87,Lookups!$T$2:$U$11,2,FALSE),'Report - Model Drivers'!$A$2:$A$21,0),MATCH('Report Actual'!F$70,'Report - Model Drivers'!$B$1:$D$1,0)),"")</f>
        <v/>
      </c>
      <c r="G87" s="61"/>
      <c r="H87" s="61"/>
    </row>
    <row r="88" spans="1:8" ht="15.75" customHeight="1" outlineLevel="1" collapsed="1" x14ac:dyDescent="0.3">
      <c r="A88" s="34" t="s">
        <v>57</v>
      </c>
      <c r="B88" s="45">
        <f>IFERROR(INDEX('Report - Model Drivers'!$B$2:$D$21,MATCH(VLOOKUP('Report Actual'!$A88,Lookups!$T$2:$U$11,2,FALSE),'Report - Model Drivers'!$A$2:$A$21,0),MATCH('Report Actual'!B$70,'Report - Model Drivers'!$B$1:$D$1,0)),"")</f>
        <v>9</v>
      </c>
      <c r="C88" s="60" t="s">
        <v>36</v>
      </c>
      <c r="D88" s="45">
        <f>IFERROR(INDEX('Report - Model Drivers'!$B$2:$D$21,MATCH(VLOOKUP('Report Actual'!$A88,Lookups!$T$2:$U$11,2,FALSE),'Report - Model Drivers'!$A$2:$A$21,0),MATCH('Report Actual'!D$70,'Report - Model Drivers'!$B$1:$D$1,0)),"")</f>
        <v>9</v>
      </c>
      <c r="E88" s="60" t="s">
        <v>36</v>
      </c>
      <c r="F88" s="45" t="str">
        <f>IFERROR(INDEX('Report - Model Drivers'!$B$2:$D$21,MATCH(VLOOKUP('Report Actual'!$A88,Lookups!$T$2:$U$11,2,FALSE),'Report - Model Drivers'!$A$2:$A$21,0),MATCH('Report Actual'!F$70,'Report - Model Drivers'!$B$1:$D$1,0)),"")</f>
        <v/>
      </c>
      <c r="G88" s="61"/>
      <c r="H88" s="61"/>
    </row>
    <row r="89" spans="1:8" ht="15.75" customHeight="1" outlineLevel="1" collapsed="1" x14ac:dyDescent="0.3">
      <c r="A89" s="34" t="s">
        <v>58</v>
      </c>
      <c r="B89" s="45">
        <f>IFERROR(INDEX('Report - Model Drivers'!$B$2:$D$21,MATCH(VLOOKUP('Report Actual'!$A89,Lookups!$T$2:$U$11,2,FALSE),'Report - Model Drivers'!$A$2:$A$21,0),MATCH('Report Actual'!B$70,'Report - Model Drivers'!$B$1:$D$1,0)),"")</f>
        <v>1</v>
      </c>
      <c r="C89" s="60" t="s">
        <v>36</v>
      </c>
      <c r="D89" s="45">
        <f>IFERROR(INDEX('Report - Model Drivers'!$B$2:$D$21,MATCH(VLOOKUP('Report Actual'!$A89,Lookups!$T$2:$U$11,2,FALSE),'Report - Model Drivers'!$A$2:$A$21,0),MATCH('Report Actual'!D$70,'Report - Model Drivers'!$B$1:$D$1,0)),"")</f>
        <v>8</v>
      </c>
      <c r="E89" s="60" t="s">
        <v>36</v>
      </c>
      <c r="F89" s="45" t="str">
        <f>IFERROR(INDEX('Report - Model Drivers'!$B$2:$D$21,MATCH(VLOOKUP('Report Actual'!$A89,Lookups!$T$2:$U$11,2,FALSE),'Report - Model Drivers'!$A$2:$A$21,0),MATCH('Report Actual'!F$70,'Report - Model Drivers'!$B$1:$D$1,0)),"")</f>
        <v/>
      </c>
      <c r="G89" s="61"/>
      <c r="H89" s="61"/>
    </row>
    <row r="90" spans="1:8" ht="15.75" customHeight="1" outlineLevel="1" collapsed="1" x14ac:dyDescent="0.3">
      <c r="A90" s="34" t="s">
        <v>59</v>
      </c>
      <c r="B90" s="45">
        <f>IFERROR(INDEX('Report - Model Drivers'!$B$2:$D$21,MATCH(VLOOKUP('Report Actual'!$A90,Lookups!$T$2:$U$11,2,FALSE),'Report - Model Drivers'!$A$2:$A$21,0),MATCH('Report Actual'!B$70,'Report - Model Drivers'!$B$1:$D$1,0)),"")</f>
        <v>3</v>
      </c>
      <c r="C90" s="60" t="s">
        <v>36</v>
      </c>
      <c r="D90" s="45">
        <f>IFERROR(INDEX('Report - Model Drivers'!$B$2:$D$21,MATCH(VLOOKUP('Report Actual'!$A90,Lookups!$T$2:$U$11,2,FALSE),'Report - Model Drivers'!$A$2:$A$21,0),MATCH('Report Actual'!D$70,'Report - Model Drivers'!$B$1:$D$1,0)),"")</f>
        <v>1</v>
      </c>
      <c r="E90" s="60" t="s">
        <v>36</v>
      </c>
      <c r="F90" s="45" t="str">
        <f>IFERROR(INDEX('Report - Model Drivers'!$B$2:$D$21,MATCH(VLOOKUP('Report Actual'!$A90,Lookups!$T$2:$U$11,2,FALSE),'Report - Model Drivers'!$A$2:$A$21,0),MATCH('Report Actual'!F$70,'Report - Model Drivers'!$B$1:$D$1,0)),"")</f>
        <v/>
      </c>
      <c r="G90" s="61"/>
      <c r="H90" s="61"/>
    </row>
    <row r="91" spans="1:8" ht="15.75" customHeight="1" outlineLevel="1" collapsed="1" x14ac:dyDescent="0.3">
      <c r="A91" s="34" t="s">
        <v>60</v>
      </c>
      <c r="B91" s="45">
        <f>IFERROR(INDEX('Report - Model Drivers'!$B$2:$D$21,MATCH(VLOOKUP('Report Actual'!$A91,Lookups!$T$2:$U$11,2,FALSE),'Report - Model Drivers'!$A$2:$A$21,0),MATCH('Report Actual'!B$70,'Report - Model Drivers'!$B$1:$D$1,0)),"")</f>
        <v>0</v>
      </c>
      <c r="C91" s="60" t="s">
        <v>36</v>
      </c>
      <c r="D91" s="45">
        <f>IFERROR(INDEX('Report - Model Drivers'!$B$2:$D$21,MATCH(VLOOKUP('Report Actual'!$A91,Lookups!$T$2:$U$11,2,FALSE),'Report - Model Drivers'!$A$2:$A$21,0),MATCH('Report Actual'!D$70,'Report - Model Drivers'!$B$1:$D$1,0)),"")</f>
        <v>0</v>
      </c>
      <c r="E91" s="60" t="s">
        <v>36</v>
      </c>
      <c r="F91" s="45" t="str">
        <f>IFERROR(INDEX('Report - Model Drivers'!$B$2:$D$21,MATCH(VLOOKUP('Report Actual'!$A91,Lookups!$T$2:$U$11,2,FALSE),'Report - Model Drivers'!$A$2:$A$21,0),MATCH('Report Actual'!F$70,'Report - Model Drivers'!$B$1:$D$1,0)),"")</f>
        <v/>
      </c>
      <c r="G91" s="61"/>
      <c r="H91" s="61"/>
    </row>
    <row r="92" spans="1:8" ht="15.75" customHeight="1" outlineLevel="1" collapsed="1" x14ac:dyDescent="0.3">
      <c r="A92" s="37" t="s">
        <v>61</v>
      </c>
      <c r="B92" s="97">
        <f>IFERROR(INDEX('Report - Model Drivers'!$B$2:$D$21,MATCH(VLOOKUP('Report Actual'!$A92,Lookups!$T$2:$U$11,2,FALSE),'Report - Model Drivers'!$A$2:$A$21,0),MATCH('Report Actual'!B$70,'Report - Model Drivers'!$B$1:$D$1,0)),"")</f>
        <v>0</v>
      </c>
      <c r="C92" s="62" t="s">
        <v>36</v>
      </c>
      <c r="D92" s="97">
        <f>IFERROR(INDEX('Report - Model Drivers'!$B$2:$D$21,MATCH(VLOOKUP('Report Actual'!$A92,Lookups!$T$2:$U$11,2,FALSE),'Report - Model Drivers'!$A$2:$A$21,0),MATCH('Report Actual'!D$70,'Report - Model Drivers'!$B$1:$D$1,0)),"")</f>
        <v>0</v>
      </c>
      <c r="E92" s="62" t="s">
        <v>36</v>
      </c>
      <c r="F92" s="97" t="str">
        <f>IFERROR(INDEX('Report - Model Drivers'!$B$2:$D$21,MATCH(VLOOKUP('Report Actual'!$A92,Lookups!$T$2:$U$11,2,FALSE),'Report - Model Drivers'!$A$2:$A$21,0),MATCH('Report Actual'!F$70,'Report - Model Drivers'!$B$1:$D$1,0)),"")</f>
        <v/>
      </c>
      <c r="G92" s="63"/>
      <c r="H92" s="63"/>
    </row>
    <row r="94" spans="1:8" ht="15.75" customHeight="1" x14ac:dyDescent="0.3">
      <c r="A94" s="3" t="s">
        <v>63</v>
      </c>
      <c r="B94" s="4"/>
      <c r="C94" s="4"/>
      <c r="D94" s="4"/>
      <c r="E94" s="4"/>
      <c r="F94" s="4"/>
      <c r="G94" s="4"/>
      <c r="H94" s="4"/>
    </row>
    <row r="95" spans="1:8" s="16" customFormat="1" ht="15.75" customHeight="1" outlineLevel="1" collapsed="1" x14ac:dyDescent="0.3">
      <c r="A95" s="40" t="s">
        <v>30</v>
      </c>
      <c r="B95" s="41" t="str">
        <f>B70</f>
        <v>2025-02-28</v>
      </c>
      <c r="C95" s="42"/>
      <c r="D95" s="41" t="str">
        <f>D70</f>
        <v>2024-02-28</v>
      </c>
      <c r="E95" s="42"/>
      <c r="F95" s="41" t="str">
        <f>F70</f>
        <v/>
      </c>
      <c r="G95" s="41"/>
      <c r="H95" s="43"/>
    </row>
    <row r="96" spans="1:8" ht="15.75" customHeight="1" outlineLevel="1" collapsed="1" x14ac:dyDescent="0.3">
      <c r="A96" s="28" t="s">
        <v>64</v>
      </c>
      <c r="B96" s="29"/>
      <c r="C96" s="29"/>
      <c r="D96" s="29"/>
      <c r="E96" s="29"/>
      <c r="F96" s="29"/>
      <c r="G96" s="29"/>
      <c r="H96" s="30"/>
    </row>
    <row r="97" spans="1:8" ht="15.75" customHeight="1" outlineLevel="1" collapsed="1" x14ac:dyDescent="0.3">
      <c r="A97" s="13" t="s">
        <v>65</v>
      </c>
    </row>
    <row r="98" spans="1:8" ht="15.75" customHeight="1" outlineLevel="1" collapsed="1" x14ac:dyDescent="0.3">
      <c r="A98" s="34" t="s">
        <v>66</v>
      </c>
      <c r="B98" s="116">
        <f>IFERROR(INDEX('Report - Balance Sheet'!$B$2:$D$100,MATCH(VLOOKUP('Report Actual'!$A98,Lookups!$A$2:$B$100,2,FALSE),'Report - Balance Sheet'!$A$2:$A$100,0),MATCH('Report Actual'!B$132,'Report - Balance Sheet'!$B$1:$D$1,0)),"")</f>
        <v>0</v>
      </c>
      <c r="C98" s="58" t="s">
        <v>36</v>
      </c>
      <c r="D98" s="116">
        <f>IFERROR(INDEX('Report - Balance Sheet'!$B$2:$D$100,MATCH(VLOOKUP('Report Actual'!$A98,Lookups!$A$2:$B$100,2,FALSE),'Report - Balance Sheet'!$A$2:$A$100,0),MATCH('Report Actual'!D$132,'Report - Balance Sheet'!$B$1:$D$1,0)),"")</f>
        <v>0</v>
      </c>
      <c r="E98" s="58" t="s">
        <v>36</v>
      </c>
      <c r="F98" s="116" t="str">
        <f>IFERROR(INDEX('Report - Balance Sheet'!$B$2:$D$100,MATCH(VLOOKUP('Report Actual'!$A98,Lookups!$A$2:$B$100,2,FALSE),'Report - Balance Sheet'!$A$2:$A$100,0),MATCH('Report Actual'!F$132,'Report - Balance Sheet'!$B$1:$D$1,0)),"")</f>
        <v/>
      </c>
      <c r="G98" s="59"/>
      <c r="H98" s="59"/>
    </row>
    <row r="99" spans="1:8" ht="15.75" customHeight="1" outlineLevel="1" collapsed="1" x14ac:dyDescent="0.3">
      <c r="A99" s="34" t="s">
        <v>67</v>
      </c>
      <c r="B99" s="116">
        <f>IFERROR(INDEX('Report - Balance Sheet'!$B$2:$D$100,MATCH(VLOOKUP('Report Actual'!$A99,Lookups!$A$2:$B$100,2,FALSE),'Report - Balance Sheet'!$A$2:$A$100,0),MATCH('Report Actual'!B$132,'Report - Balance Sheet'!$B$1:$D$1,0)),"")</f>
        <v>0</v>
      </c>
      <c r="C99" s="36" t="s">
        <v>36</v>
      </c>
      <c r="D99" s="116">
        <f>IFERROR(INDEX('Report - Balance Sheet'!$B$2:$D$100,MATCH(VLOOKUP('Report Actual'!$A99,Lookups!$A$2:$B$100,2,FALSE),'Report - Balance Sheet'!$A$2:$A$100,0),MATCH('Report Actual'!D$132,'Report - Balance Sheet'!$B$1:$D$1,0)),"")</f>
        <v>0</v>
      </c>
      <c r="E99" s="36" t="s">
        <v>36</v>
      </c>
      <c r="F99" s="116" t="str">
        <f>IFERROR(INDEX('Report - Balance Sheet'!$B$2:$D$100,MATCH(VLOOKUP('Report Actual'!$A99,Lookups!$A$2:$B$100,2,FALSE),'Report - Balance Sheet'!$A$2:$A$100,0),MATCH('Report Actual'!F$132,'Report - Balance Sheet'!$B$1:$D$1,0)),"")</f>
        <v/>
      </c>
    </row>
    <row r="100" spans="1:8" ht="15.75" customHeight="1" outlineLevel="1" collapsed="1" x14ac:dyDescent="0.3">
      <c r="A100" s="34" t="s">
        <v>68</v>
      </c>
      <c r="B100" s="116">
        <f>IFERROR(INDEX('Report - Balance Sheet'!$B$2:$D$100,MATCH(VLOOKUP('Report Actual'!$A100,Lookups!$A$2:$B$100,2,FALSE),'Report - Balance Sheet'!$A$2:$A$100,0),MATCH('Report Actual'!B$132,'Report - Balance Sheet'!$B$1:$D$1,0)),"")</f>
        <v>4768592</v>
      </c>
      <c r="C100" s="58" t="s">
        <v>36</v>
      </c>
      <c r="D100" s="116">
        <f>IFERROR(INDEX('Report - Balance Sheet'!$B$2:$D$100,MATCH(VLOOKUP('Report Actual'!$A100,Lookups!$A$2:$B$100,2,FALSE),'Report - Balance Sheet'!$A$2:$A$100,0),MATCH('Report Actual'!D$132,'Report - Balance Sheet'!$B$1:$D$1,0)),"")</f>
        <v>4487256</v>
      </c>
      <c r="E100" s="58" t="s">
        <v>36</v>
      </c>
      <c r="F100" s="116" t="str">
        <f>IFERROR(INDEX('Report - Balance Sheet'!$B$2:$D$100,MATCH(VLOOKUP('Report Actual'!$A100,Lookups!$A$2:$B$100,2,FALSE),'Report - Balance Sheet'!$A$2:$A$100,0),MATCH('Report Actual'!F$132,'Report - Balance Sheet'!$B$1:$D$1,0)),"")</f>
        <v/>
      </c>
      <c r="G100" s="59"/>
      <c r="H100" s="59"/>
    </row>
    <row r="101" spans="1:8" ht="15.75" customHeight="1" outlineLevel="1" x14ac:dyDescent="0.3">
      <c r="A101" s="34" t="s">
        <v>69</v>
      </c>
      <c r="B101" s="116">
        <f>IFERROR(INDEX('Report - Balance Sheet'!$B$2:$D$100,MATCH(VLOOKUP('Report Actual'!$A101,Lookups!$A$2:$B$100,2,FALSE),'Report - Balance Sheet'!$A$2:$A$100,0),MATCH('Report Actual'!B$132,'Report - Balance Sheet'!$B$1:$D$1,0)),"")</f>
        <v>0</v>
      </c>
      <c r="C101" s="58" t="s">
        <v>36</v>
      </c>
      <c r="D101" s="116">
        <f>IFERROR(INDEX('Report - Balance Sheet'!$B$2:$D$100,MATCH(VLOOKUP('Report Actual'!$A101,Lookups!$A$2:$B$100,2,FALSE),'Report - Balance Sheet'!$A$2:$A$100,0),MATCH('Report Actual'!D$132,'Report - Balance Sheet'!$B$1:$D$1,0)),"")</f>
        <v>0</v>
      </c>
      <c r="E101" s="58" t="s">
        <v>36</v>
      </c>
      <c r="F101" s="116" t="str">
        <f>IFERROR(INDEX('Report - Balance Sheet'!$B$2:$D$100,MATCH(VLOOKUP('Report Actual'!$A101,Lookups!$A$2:$B$100,2,FALSE),'Report - Balance Sheet'!$A$2:$A$100,0),MATCH('Report Actual'!F$132,'Report - Balance Sheet'!$B$1:$D$1,0)),"")</f>
        <v/>
      </c>
      <c r="G101" s="59"/>
      <c r="H101" s="59"/>
    </row>
    <row r="102" spans="1:8" ht="15.75" customHeight="1" outlineLevel="1" collapsed="1" x14ac:dyDescent="0.3">
      <c r="A102" s="34" t="s">
        <v>70</v>
      </c>
      <c r="B102" s="116">
        <f>IFERROR(INDEX('Report - Balance Sheet'!$B$2:$D$100,MATCH(VLOOKUP('Report Actual'!$A102,Lookups!$A$2:$B$100,2,FALSE),'Report - Balance Sheet'!$A$2:$A$100,0),MATCH('Report Actual'!B$132,'Report - Balance Sheet'!$B$1:$D$1,0)),"")</f>
        <v>0</v>
      </c>
      <c r="C102" s="58" t="s">
        <v>36</v>
      </c>
      <c r="D102" s="116">
        <f>IFERROR(INDEX('Report - Balance Sheet'!$B$2:$D$100,MATCH(VLOOKUP('Report Actual'!$A102,Lookups!$A$2:$B$100,2,FALSE),'Report - Balance Sheet'!$A$2:$A$100,0),MATCH('Report Actual'!D$132,'Report - Balance Sheet'!$B$1:$D$1,0)),"")</f>
        <v>0</v>
      </c>
      <c r="E102" s="58" t="s">
        <v>36</v>
      </c>
      <c r="F102" s="116" t="str">
        <f>IFERROR(INDEX('Report - Balance Sheet'!$B$2:$D$100,MATCH(VLOOKUP('Report Actual'!$A102,Lookups!$A$2:$B$100,2,FALSE),'Report - Balance Sheet'!$A$2:$A$100,0),MATCH('Report Actual'!F$132,'Report - Balance Sheet'!$B$1:$D$1,0)),"")</f>
        <v/>
      </c>
      <c r="G102" s="59"/>
      <c r="H102" s="59"/>
    </row>
    <row r="103" spans="1:8" ht="15.75" customHeight="1" outlineLevel="1" collapsed="1" x14ac:dyDescent="0.3">
      <c r="A103" s="34" t="s">
        <v>71</v>
      </c>
      <c r="B103" s="116">
        <f>IFERROR(INDEX('Report - Balance Sheet'!$B$2:$D$100,MATCH(VLOOKUP('Report Actual'!$A103,Lookups!$A$2:$B$100,2,FALSE),'Report - Balance Sheet'!$A$2:$A$100,0),MATCH('Report Actual'!B$132,'Report - Balance Sheet'!$B$1:$D$1,0)),"")</f>
        <v>0</v>
      </c>
      <c r="C103" s="58" t="s">
        <v>36</v>
      </c>
      <c r="D103" s="116">
        <f>IFERROR(INDEX('Report - Balance Sheet'!$B$2:$D$100,MATCH(VLOOKUP('Report Actual'!$A103,Lookups!$A$2:$B$100,2,FALSE),'Report - Balance Sheet'!$A$2:$A$100,0),MATCH('Report Actual'!D$132,'Report - Balance Sheet'!$B$1:$D$1,0)),"")</f>
        <v>0</v>
      </c>
      <c r="E103" s="58" t="s">
        <v>36</v>
      </c>
      <c r="F103" s="116" t="str">
        <f>IFERROR(INDEX('Report - Balance Sheet'!$B$2:$D$100,MATCH(VLOOKUP('Report Actual'!$A103,Lookups!$A$2:$B$100,2,FALSE),'Report - Balance Sheet'!$A$2:$A$100,0),MATCH('Report Actual'!F$132,'Report - Balance Sheet'!$B$1:$D$1,0)),"")</f>
        <v/>
      </c>
      <c r="G103" s="59"/>
      <c r="H103" s="59"/>
    </row>
    <row r="104" spans="1:8" ht="15.75" customHeight="1" outlineLevel="1" collapsed="1" x14ac:dyDescent="0.3">
      <c r="A104" s="34" t="s">
        <v>72</v>
      </c>
      <c r="B104" s="116">
        <f>IFERROR(INDEX('Report - Balance Sheet'!$B$2:$D$100,MATCH(VLOOKUP('Report Actual'!$A104,Lookups!$A$2:$B$100,2,FALSE),'Report - Balance Sheet'!$A$2:$A$100,0),MATCH('Report Actual'!B$132,'Report - Balance Sheet'!$B$1:$D$1,0)),"")</f>
        <v>0</v>
      </c>
      <c r="C104" s="58" t="s">
        <v>36</v>
      </c>
      <c r="D104" s="116">
        <f>IFERROR(INDEX('Report - Balance Sheet'!$B$2:$D$100,MATCH(VLOOKUP('Report Actual'!$A104,Lookups!$A$2:$B$100,2,FALSE),'Report - Balance Sheet'!$A$2:$A$100,0),MATCH('Report Actual'!D$132,'Report - Balance Sheet'!$B$1:$D$1,0)),"")</f>
        <v>0</v>
      </c>
      <c r="E104" s="58" t="s">
        <v>36</v>
      </c>
      <c r="F104" s="116" t="str">
        <f>IFERROR(INDEX('Report - Balance Sheet'!$B$2:$D$100,MATCH(VLOOKUP('Report Actual'!$A104,Lookups!$A$2:$B$100,2,FALSE),'Report - Balance Sheet'!$A$2:$A$100,0),MATCH('Report Actual'!F$132,'Report - Balance Sheet'!$B$1:$D$1,0)),"")</f>
        <v/>
      </c>
      <c r="G104" s="59"/>
      <c r="H104" s="59"/>
    </row>
    <row r="105" spans="1:8" ht="15.75" customHeight="1" outlineLevel="1" collapsed="1" x14ac:dyDescent="0.3">
      <c r="A105" s="34" t="s">
        <v>73</v>
      </c>
      <c r="B105" s="116">
        <f>IFERROR(INDEX('Report - Balance Sheet'!$B$2:$D$100,MATCH(VLOOKUP('Report Actual'!$A105,Lookups!$A$2:$B$100,2,FALSE),'Report - Balance Sheet'!$A$2:$A$100,0),MATCH('Report Actual'!B$132,'Report - Balance Sheet'!$B$1:$D$1,0)),"")</f>
        <v>0</v>
      </c>
      <c r="C105" s="36" t="s">
        <v>36</v>
      </c>
      <c r="D105" s="116">
        <f>IFERROR(INDEX('Report - Balance Sheet'!$B$2:$D$100,MATCH(VLOOKUP('Report Actual'!$A105,Lookups!$A$2:$B$100,2,FALSE),'Report - Balance Sheet'!$A$2:$A$100,0),MATCH('Report Actual'!D$132,'Report - Balance Sheet'!$B$1:$D$1,0)),"")</f>
        <v>0</v>
      </c>
      <c r="E105" s="36" t="s">
        <v>36</v>
      </c>
      <c r="F105" s="116" t="str">
        <f>IFERROR(INDEX('Report - Balance Sheet'!$B$2:$D$100,MATCH(VLOOKUP('Report Actual'!$A105,Lookups!$A$2:$B$100,2,FALSE),'Report - Balance Sheet'!$A$2:$A$100,0),MATCH('Report Actual'!F$132,'Report - Balance Sheet'!$B$1:$D$1,0)),"")</f>
        <v/>
      </c>
    </row>
    <row r="106" spans="1:8" ht="15.75" customHeight="1" outlineLevel="1" collapsed="1" x14ac:dyDescent="0.3">
      <c r="A106" s="34" t="s">
        <v>74</v>
      </c>
      <c r="B106" s="116">
        <f>IFERROR(INDEX('Report - Balance Sheet'!$B$2:$D$100,MATCH(VLOOKUP('Report Actual'!$A106,Lookups!$A$2:$B$100,2,FALSE),'Report - Balance Sheet'!$A$2:$A$100,0),MATCH('Report Actual'!B$132,'Report - Balance Sheet'!$B$1:$D$1,0)),"")</f>
        <v>0</v>
      </c>
      <c r="C106" s="58" t="s">
        <v>36</v>
      </c>
      <c r="D106" s="116">
        <f>IFERROR(INDEX('Report - Balance Sheet'!$B$2:$D$100,MATCH(VLOOKUP('Report Actual'!$A106,Lookups!$A$2:$B$100,2,FALSE),'Report - Balance Sheet'!$A$2:$A$100,0),MATCH('Report Actual'!D$132,'Report - Balance Sheet'!$B$1:$D$1,0)),"")</f>
        <v>0</v>
      </c>
      <c r="E106" s="58" t="s">
        <v>36</v>
      </c>
      <c r="F106" s="116" t="str">
        <f>IFERROR(INDEX('Report - Balance Sheet'!$B$2:$D$100,MATCH(VLOOKUP('Report Actual'!$A106,Lookups!$A$2:$B$100,2,FALSE),'Report - Balance Sheet'!$A$2:$A$100,0),MATCH('Report Actual'!F$132,'Report - Balance Sheet'!$B$1:$D$1,0)),"")</f>
        <v/>
      </c>
      <c r="G106" s="59"/>
      <c r="H106" s="59"/>
    </row>
    <row r="107" spans="1:8" ht="15.75" customHeight="1" outlineLevel="1" x14ac:dyDescent="0.3">
      <c r="A107" s="34" t="s">
        <v>75</v>
      </c>
      <c r="B107" s="116">
        <f>IFERROR(INDEX('Report - Balance Sheet'!$B$2:$D$100,MATCH(VLOOKUP('Report Actual'!$A107,Lookups!$A$2:$B$90,2,FALSE),'Report - Balance Sheet'!$A$2:$A$100,0),MATCH('Report Actual'!B$132,'Report - Balance Sheet'!$B$1:$D$1,0)),"")</f>
        <v>0</v>
      </c>
      <c r="C107" s="58"/>
      <c r="D107" s="116">
        <f>IFERROR(INDEX('Report - Balance Sheet'!$B$2:$D$100,MATCH(VLOOKUP('Report Actual'!$A107,Lookups!$A$2:$B$90,2,FALSE),'Report - Balance Sheet'!$A$2:$A$100,0),MATCH('Report Actual'!D$132,'Report - Balance Sheet'!$B$1:$D$1,0)),"")</f>
        <v>0</v>
      </c>
      <c r="E107" s="58"/>
      <c r="F107" s="116" t="str">
        <f>IFERROR(INDEX('Report - Balance Sheet'!$B$2:$D$100,MATCH(VLOOKUP('Report Actual'!$A107,Lookups!$A$2:$B$100,2,FALSE),'Report - Balance Sheet'!$A$2:$A$100,0),MATCH('Report Actual'!F$132,'Report - Balance Sheet'!$B$1:$D$1,0)),"")</f>
        <v/>
      </c>
      <c r="G107" s="59"/>
      <c r="H107" s="59"/>
    </row>
    <row r="108" spans="1:8" ht="15.75" customHeight="1" outlineLevel="1" collapsed="1" x14ac:dyDescent="0.3">
      <c r="A108" s="34" t="s">
        <v>76</v>
      </c>
      <c r="B108" s="116">
        <f>IFERROR(INDEX('Report - Balance Sheet'!$B$2:$D$100,MATCH(VLOOKUP('Report Actual'!$A108,Lookups!$A$2:$B$100,2,FALSE),'Report - Balance Sheet'!$A$2:$A$100,0),MATCH('Report Actual'!B$132,'Report - Balance Sheet'!$B$1:$D$1,0)),"")</f>
        <v>0</v>
      </c>
      <c r="C108" s="58" t="s">
        <v>36</v>
      </c>
      <c r="D108" s="116">
        <f>IFERROR(INDEX('Report - Balance Sheet'!$B$2:$D$100,MATCH(VLOOKUP('Report Actual'!$A108,Lookups!$A$2:$B$100,2,FALSE),'Report - Balance Sheet'!$A$2:$A$100,0),MATCH('Report Actual'!D$132,'Report - Balance Sheet'!$B$1:$D$1,0)),"")</f>
        <v>0</v>
      </c>
      <c r="E108" s="58" t="s">
        <v>36</v>
      </c>
      <c r="F108" s="116" t="str">
        <f>IFERROR(INDEX('Report - Balance Sheet'!$B$2:$D$100,MATCH(VLOOKUP('Report Actual'!$A108,Lookups!$A$2:$B$100,2,FALSE),'Report - Balance Sheet'!$A$2:$A$100,0),MATCH('Report Actual'!F$132,'Report - Balance Sheet'!$B$1:$D$1,0)),"")</f>
        <v/>
      </c>
      <c r="G108" s="59"/>
      <c r="H108" s="59"/>
    </row>
    <row r="109" spans="1:8" ht="15.75" customHeight="1" outlineLevel="1" collapsed="1" x14ac:dyDescent="0.3">
      <c r="A109" s="34" t="s">
        <v>77</v>
      </c>
      <c r="B109" s="116">
        <f>IFERROR(INDEX('Report - Balance Sheet'!$B$2:$D$100,MATCH(VLOOKUP('Report Actual'!$A109,Lookups!$A$2:$B$100,2,FALSE),'Report - Balance Sheet'!$A$2:$A$100,0),MATCH('Report Actual'!B$132,'Report - Balance Sheet'!$B$1:$D$1,0)),"")</f>
        <v>0</v>
      </c>
      <c r="C109" s="58" t="s">
        <v>36</v>
      </c>
      <c r="D109" s="116">
        <f>IFERROR(INDEX('Report - Balance Sheet'!$B$2:$D$100,MATCH(VLOOKUP('Report Actual'!$A109,Lookups!$A$2:$B$100,2,FALSE),'Report - Balance Sheet'!$A$2:$A$100,0),MATCH('Report Actual'!D$132,'Report - Balance Sheet'!$B$1:$D$1,0)),"")</f>
        <v>0</v>
      </c>
      <c r="E109" s="58" t="s">
        <v>36</v>
      </c>
      <c r="F109" s="116" t="str">
        <f>IFERROR(INDEX('Report - Balance Sheet'!$B$2:$D$100,MATCH(VLOOKUP('Report Actual'!$A109,Lookups!$A$2:$B$100,2,FALSE),'Report - Balance Sheet'!$A$2:$A$100,0),MATCH('Report Actual'!F$132,'Report - Balance Sheet'!$B$1:$D$1,0)),"")</f>
        <v/>
      </c>
      <c r="G109" s="59"/>
      <c r="H109" s="59"/>
    </row>
    <row r="110" spans="1:8" ht="15.75" customHeight="1" outlineLevel="1" collapsed="1" x14ac:dyDescent="0.3">
      <c r="A110" s="34" t="s">
        <v>78</v>
      </c>
      <c r="B110" s="116">
        <f>IFERROR(INDEX('Report - Balance Sheet'!$B$2:$D$100,MATCH(VLOOKUP('Report Actual'!$A110,Lookups!$A$2:$B$100,2,FALSE),'Report - Balance Sheet'!$A$2:$A$100,0),MATCH('Report Actual'!B$132,'Report - Balance Sheet'!$B$1:$D$1,0)),"")</f>
        <v>0</v>
      </c>
      <c r="C110" s="58" t="s">
        <v>36</v>
      </c>
      <c r="D110" s="116">
        <f>IFERROR(INDEX('Report - Balance Sheet'!$B$2:$D$100,MATCH(VLOOKUP('Report Actual'!$A110,Lookups!$A$2:$B$100,2,FALSE),'Report - Balance Sheet'!$A$2:$A$100,0),MATCH('Report Actual'!D$132,'Report - Balance Sheet'!$B$1:$D$1,0)),"")</f>
        <v>0</v>
      </c>
      <c r="E110" s="58" t="s">
        <v>36</v>
      </c>
      <c r="F110" s="116" t="str">
        <f>IFERROR(INDEX('Report - Balance Sheet'!$B$2:$D$100,MATCH(VLOOKUP('Report Actual'!$A110,Lookups!$A$2:$B$100,2,FALSE),'Report - Balance Sheet'!$A$2:$A$100,0),MATCH('Report Actual'!F$132,'Report - Balance Sheet'!$B$1:$D$1,0)),"")</f>
        <v/>
      </c>
      <c r="G110" s="59"/>
      <c r="H110" s="59"/>
    </row>
    <row r="111" spans="1:8" ht="15.75" customHeight="1" outlineLevel="1" collapsed="1" x14ac:dyDescent="0.3">
      <c r="A111" s="34" t="s">
        <v>79</v>
      </c>
      <c r="B111" s="116">
        <f>IFERROR(INDEX('Report - Balance Sheet'!$B$2:$D$100,MATCH(VLOOKUP('Report Actual'!$A111,Lookups!$A$2:$B$100,2,FALSE),'Report - Balance Sheet'!$A$2:$A$100,0),MATCH('Report Actual'!B$132,'Report - Balance Sheet'!$B$1:$D$1,0)),"")</f>
        <v>0</v>
      </c>
      <c r="C111" s="58" t="s">
        <v>36</v>
      </c>
      <c r="D111" s="116">
        <f>IFERROR(INDEX('Report - Balance Sheet'!$B$2:$D$100,MATCH(VLOOKUP('Report Actual'!$A111,Lookups!$A$2:$B$100,2,FALSE),'Report - Balance Sheet'!$A$2:$A$100,0),MATCH('Report Actual'!D$132,'Report - Balance Sheet'!$B$1:$D$1,0)),"")</f>
        <v>0</v>
      </c>
      <c r="E111" s="58" t="s">
        <v>36</v>
      </c>
      <c r="F111" s="116" t="str">
        <f>IFERROR(INDEX('Report - Balance Sheet'!$B$2:$D$100,MATCH(VLOOKUP('Report Actual'!$A111,Lookups!$A$2:$B$100,2,FALSE),'Report - Balance Sheet'!$A$2:$A$100,0),MATCH('Report Actual'!F$132,'Report - Balance Sheet'!$B$1:$D$1,0)),"")</f>
        <v/>
      </c>
      <c r="G111" s="59"/>
      <c r="H111" s="59"/>
    </row>
    <row r="112" spans="1:8" ht="15.75" customHeight="1" outlineLevel="1" collapsed="1" x14ac:dyDescent="0.3">
      <c r="A112" s="34" t="s">
        <v>402</v>
      </c>
      <c r="B112" s="116">
        <f>IFERROR(INDEX('Report - Balance Sheet'!$B$2:$D$100,MATCH(VLOOKUP('Report Actual'!$A112,Lookups!$A$2:$B$100,2,FALSE),'Report - Balance Sheet'!$A$2:$A$100,0),MATCH('Report Actual'!B$132,'Report - Balance Sheet'!$B$1:$D$1,0)),"")</f>
        <v>0</v>
      </c>
      <c r="C112" s="58" t="s">
        <v>36</v>
      </c>
      <c r="D112" s="116">
        <f>IFERROR(INDEX('Report - Balance Sheet'!$B$2:$D$100,MATCH(VLOOKUP('Report Actual'!$A112,Lookups!$A$2:$B$100,2,FALSE),'Report - Balance Sheet'!$A$2:$A$100,0),MATCH('Report Actual'!D$132,'Report - Balance Sheet'!$B$1:$D$1,0)),"")</f>
        <v>0</v>
      </c>
      <c r="E112" s="58" t="s">
        <v>36</v>
      </c>
      <c r="F112" s="116" t="str">
        <f>IFERROR(INDEX('Report - Balance Sheet'!$B$2:$D$100,MATCH(VLOOKUP('Report Actual'!$A112,Lookups!$A$2:$B$100,2,FALSE),'Report - Balance Sheet'!$A$2:$A$100,0),MATCH('Report Actual'!F$132,'Report - Balance Sheet'!$B$1:$D$1,0)),"")</f>
        <v/>
      </c>
      <c r="G112" s="59"/>
      <c r="H112" s="59"/>
    </row>
    <row r="113" spans="1:8" ht="15.75" customHeight="1" outlineLevel="1" collapsed="1" x14ac:dyDescent="0.3">
      <c r="A113" s="34" t="s">
        <v>80</v>
      </c>
      <c r="B113" s="116">
        <f>IFERROR(INDEX('Report - Balance Sheet'!$B$2:$D$100,MATCH(VLOOKUP('Report Actual'!$A113,Lookups!$A$2:$B$100,2,FALSE),'Report - Balance Sheet'!$A$2:$A$100,0),MATCH('Report Actual'!B$132,'Report - Balance Sheet'!$B$1:$D$1,0)),"")</f>
        <v>0</v>
      </c>
      <c r="C113" s="58" t="s">
        <v>36</v>
      </c>
      <c r="D113" s="116">
        <f>IFERROR(INDEX('Report - Balance Sheet'!$B$2:$D$100,MATCH(VLOOKUP('Report Actual'!$A113,Lookups!$A$2:$B$100,2,FALSE),'Report - Balance Sheet'!$A$2:$A$100,0),MATCH('Report Actual'!D$132,'Report - Balance Sheet'!$B$1:$D$1,0)),"")</f>
        <v>0</v>
      </c>
      <c r="E113" s="58" t="s">
        <v>36</v>
      </c>
      <c r="F113" s="116" t="str">
        <f>IFERROR(INDEX('Report - Balance Sheet'!$B$2:$D$100,MATCH(VLOOKUP('Report Actual'!$A113,Lookups!$A$2:$B$100,2,FALSE),'Report - Balance Sheet'!$A$2:$A$100,0),MATCH('Report Actual'!F$132,'Report - Balance Sheet'!$B$1:$D$1,0)),"")</f>
        <v/>
      </c>
      <c r="G113" s="59"/>
      <c r="H113" s="59"/>
    </row>
    <row r="114" spans="1:8" ht="15.75" customHeight="1" outlineLevel="1" collapsed="1" x14ac:dyDescent="0.3">
      <c r="A114" s="34" t="s">
        <v>81</v>
      </c>
      <c r="B114" s="116">
        <f>IFERROR(INDEX('Report - Balance Sheet'!$B$2:$D$100,MATCH(VLOOKUP('Report Actual'!$A114,Lookups!$A$2:$B$100,2,FALSE),'Report - Balance Sheet'!$A$2:$A$100,0),MATCH('Report Actual'!B$132,'Report - Balance Sheet'!$B$1:$D$1,0)),"")</f>
        <v>0</v>
      </c>
      <c r="C114" s="58" t="s">
        <v>36</v>
      </c>
      <c r="D114" s="116">
        <f>IFERROR(INDEX('Report - Balance Sheet'!$B$2:$D$100,MATCH(VLOOKUP('Report Actual'!$A114,Lookups!$A$2:$B$100,2,FALSE),'Report - Balance Sheet'!$A$2:$A$100,0),MATCH('Report Actual'!D$132,'Report - Balance Sheet'!$B$1:$D$1,0)),"")</f>
        <v>0</v>
      </c>
      <c r="E114" s="58" t="s">
        <v>36</v>
      </c>
      <c r="F114" s="116" t="str">
        <f>IFERROR(INDEX('Report - Balance Sheet'!$B$2:$D$100,MATCH(VLOOKUP('Report Actual'!$A114,Lookups!$A$2:$B$100,2,FALSE),'Report - Balance Sheet'!$A$2:$A$100,0),MATCH('Report Actual'!F$132,'Report - Balance Sheet'!$B$1:$D$1,0)),"")</f>
        <v/>
      </c>
      <c r="G114" s="59"/>
      <c r="H114" s="59"/>
    </row>
    <row r="115" spans="1:8" s="16" customFormat="1" ht="15.75" customHeight="1" outlineLevel="1" collapsed="1" x14ac:dyDescent="0.3">
      <c r="A115" s="65" t="s">
        <v>82</v>
      </c>
      <c r="B115" s="67">
        <f>IF(SUM(B98:B114)=0,"",SUM(B98:B114))</f>
        <v>4768592</v>
      </c>
      <c r="C115" s="66" t="s">
        <v>36</v>
      </c>
      <c r="D115" s="67">
        <f>IF(SUM(D98:D114)=0,"",SUM(D98:D114))</f>
        <v>4487256</v>
      </c>
      <c r="E115" s="66" t="s">
        <v>36</v>
      </c>
      <c r="F115" s="67" t="str">
        <f>IF(F95="","",SUM(F98:F114))</f>
        <v/>
      </c>
      <c r="G115" s="67"/>
      <c r="H115" s="68"/>
    </row>
    <row r="116" spans="1:8" ht="15.75" customHeight="1" outlineLevel="1" collapsed="1" x14ac:dyDescent="0.3">
      <c r="B116" s="16"/>
      <c r="D116" s="16"/>
      <c r="F116" s="16"/>
    </row>
    <row r="117" spans="1:8" ht="15.75" customHeight="1" outlineLevel="1" collapsed="1" x14ac:dyDescent="0.3">
      <c r="A117" s="13" t="s">
        <v>83</v>
      </c>
      <c r="B117" s="16"/>
      <c r="D117" s="16"/>
      <c r="F117" s="16"/>
    </row>
    <row r="118" spans="1:8" ht="15.75" customHeight="1" outlineLevel="1" collapsed="1" x14ac:dyDescent="0.3">
      <c r="A118" s="34" t="s">
        <v>84</v>
      </c>
      <c r="B118" s="116">
        <f>IFERROR(INDEX('Report - Balance Sheet'!$B$2:$D$100,MATCH(VLOOKUP('Report Actual'!$A118,Lookups!$A$2:$B$100,2,FALSE),'Report - Balance Sheet'!$A$2:$A$100,0),MATCH('Report Actual'!B$132,'Report - Balance Sheet'!$B$1:$D$1,0)),"")</f>
        <v>327776</v>
      </c>
      <c r="C118" s="58" t="s">
        <v>36</v>
      </c>
      <c r="D118" s="116">
        <f>IFERROR(INDEX('Report - Balance Sheet'!$B$2:$D$100,MATCH(VLOOKUP('Report Actual'!$A118,Lookups!$A$2:$B$100,2,FALSE),'Report - Balance Sheet'!$A$2:$A$100,0),MATCH('Report Actual'!D$132,'Report - Balance Sheet'!$B$1:$D$1,0)),"")</f>
        <v>474947</v>
      </c>
      <c r="E118" s="58" t="s">
        <v>36</v>
      </c>
      <c r="F118" s="116" t="str">
        <f>IFERROR(INDEX('Report - Balance Sheet'!$B$2:$D$100,MATCH(VLOOKUP('Report Actual'!$A118,Lookups!$A$2:$B$100,2,FALSE),'Report - Balance Sheet'!$A$2:$A$100,0),MATCH('Report Actual'!F$132,'Report - Balance Sheet'!$B$1:$D$1,0)),"")</f>
        <v/>
      </c>
      <c r="G118" s="59"/>
      <c r="H118" s="59"/>
    </row>
    <row r="119" spans="1:8" ht="15.75" customHeight="1" outlineLevel="1" collapsed="1" x14ac:dyDescent="0.3">
      <c r="A119" s="34" t="s">
        <v>85</v>
      </c>
      <c r="B119" s="116">
        <f>IFERROR(INDEX('Report - Balance Sheet'!$B$2:$D$100,MATCH(VLOOKUP('Report Actual'!$A119,Lookups!$A$2:$B$100,2,FALSE),'Report - Balance Sheet'!$A$2:$A$100,0),MATCH('Report Actual'!B$132,'Report - Balance Sheet'!$B$1:$D$1,0)),"")</f>
        <v>3754476</v>
      </c>
      <c r="C119" s="36" t="s">
        <v>36</v>
      </c>
      <c r="D119" s="116">
        <f>IFERROR(INDEX('Report - Balance Sheet'!$B$2:$D$100,MATCH(VLOOKUP('Report Actual'!$A119,Lookups!$A$2:$B$100,2,FALSE),'Report - Balance Sheet'!$A$2:$A$100,0),MATCH('Report Actual'!D$132,'Report - Balance Sheet'!$B$1:$D$1,0)),"")</f>
        <v>0</v>
      </c>
      <c r="E119" s="36" t="s">
        <v>36</v>
      </c>
      <c r="F119" s="116" t="str">
        <f>IFERROR(INDEX('Report - Balance Sheet'!$B$2:$D$100,MATCH(VLOOKUP('Report Actual'!$A119,Lookups!$A$2:$B$100,2,FALSE),'Report - Balance Sheet'!$A$2:$A$100,0),MATCH('Report Actual'!F$132,'Report - Balance Sheet'!$B$1:$D$1,0)),"")</f>
        <v/>
      </c>
    </row>
    <row r="120" spans="1:8" ht="15.75" customHeight="1" outlineLevel="1" collapsed="1" x14ac:dyDescent="0.3">
      <c r="A120" s="34" t="s">
        <v>86</v>
      </c>
      <c r="B120" s="116">
        <f>IFERROR(INDEX('Report - Balance Sheet'!$B$2:$D$100,MATCH(VLOOKUP('Report Actual'!$A120,Lookups!$A$2:$B$100,2,FALSE),'Report - Balance Sheet'!$A$2:$A$100,0),MATCH('Report Actual'!B$132,'Report - Balance Sheet'!$B$1:$D$1,0)),"")</f>
        <v>1921061</v>
      </c>
      <c r="C120" s="58" t="s">
        <v>36</v>
      </c>
      <c r="D120" s="116">
        <f>IFERROR(INDEX('Report - Balance Sheet'!$B$2:$D$100,MATCH(VLOOKUP('Report Actual'!$A120,Lookups!$A$2:$B$100,2,FALSE),'Report - Balance Sheet'!$A$2:$A$100,0),MATCH('Report Actual'!D$132,'Report - Balance Sheet'!$B$1:$D$1,0)),"")</f>
        <v>850247</v>
      </c>
      <c r="E120" s="58" t="s">
        <v>36</v>
      </c>
      <c r="F120" s="116" t="str">
        <f>IFERROR(INDEX('Report - Balance Sheet'!$B$2:$D$100,MATCH(VLOOKUP('Report Actual'!$A120,Lookups!$A$2:$B$100,2,FALSE),'Report - Balance Sheet'!$A$2:$A$100,0),MATCH('Report Actual'!F$132,'Report - Balance Sheet'!$B$1:$D$1,0)),"")</f>
        <v/>
      </c>
      <c r="G120" s="59"/>
      <c r="H120" s="59"/>
    </row>
    <row r="121" spans="1:8" ht="15.75" customHeight="1" outlineLevel="1" collapsed="1" x14ac:dyDescent="0.3">
      <c r="A121" s="34" t="s">
        <v>87</v>
      </c>
      <c r="B121" s="116">
        <f>IFERROR(INDEX('Report - Balance Sheet'!$B$2:$D$100,MATCH(VLOOKUP('Report Actual'!$A121,Lookups!$A$2:$B$100,2,FALSE),'Report - Balance Sheet'!$A$2:$A$100,0),MATCH('Report Actual'!B$132,'Report - Balance Sheet'!$B$1:$D$1,0)),"")</f>
        <v>0</v>
      </c>
      <c r="C121" s="58" t="s">
        <v>36</v>
      </c>
      <c r="D121" s="116">
        <f>IFERROR(INDEX('Report - Balance Sheet'!$B$2:$D$100,MATCH(VLOOKUP('Report Actual'!$A121,Lookups!$A$2:$B$100,2,FALSE),'Report - Balance Sheet'!$A$2:$A$100,0),MATCH('Report Actual'!D$132,'Report - Balance Sheet'!$B$1:$D$1,0)),"")</f>
        <v>0</v>
      </c>
      <c r="E121" s="58" t="s">
        <v>36</v>
      </c>
      <c r="F121" s="116" t="str">
        <f>IFERROR(INDEX('Report - Balance Sheet'!$B$2:$D$100,MATCH(VLOOKUP('Report Actual'!$A121,Lookups!$A$2:$B$100,2,FALSE),'Report - Balance Sheet'!$A$2:$A$100,0),MATCH('Report Actual'!F$132,'Report - Balance Sheet'!$B$1:$D$1,0)),"")</f>
        <v/>
      </c>
      <c r="G121" s="59"/>
      <c r="H121" s="59"/>
    </row>
    <row r="122" spans="1:8" ht="15.75" customHeight="1" outlineLevel="1" collapsed="1" x14ac:dyDescent="0.3">
      <c r="A122" s="34" t="s">
        <v>88</v>
      </c>
      <c r="B122" s="116">
        <f>IFERROR(INDEX('Report - Balance Sheet'!$B$2:$D$100,MATCH(VLOOKUP('Report Actual'!$A122,Lookups!$A$2:$B$100,2,FALSE),'Report - Balance Sheet'!$A$2:$A$100,0),MATCH('Report Actual'!B$132,'Report - Balance Sheet'!$B$1:$D$1,0)),"")</f>
        <v>0</v>
      </c>
      <c r="C122" s="58" t="s">
        <v>36</v>
      </c>
      <c r="D122" s="116">
        <f>IFERROR(INDEX('Report - Balance Sheet'!$B$2:$D$100,MATCH(VLOOKUP('Report Actual'!$A122,Lookups!$A$2:$B$100,2,FALSE),'Report - Balance Sheet'!$A$2:$A$100,0),MATCH('Report Actual'!D$132,'Report - Balance Sheet'!$B$1:$D$1,0)),"")</f>
        <v>0</v>
      </c>
      <c r="E122" s="58" t="s">
        <v>36</v>
      </c>
      <c r="F122" s="116" t="str">
        <f>IFERROR(INDEX('Report - Balance Sheet'!$B$2:$D$100,MATCH(VLOOKUP('Report Actual'!$A122,Lookups!$A$2:$B$100,2,FALSE),'Report - Balance Sheet'!$A$2:$A$100,0),MATCH('Report Actual'!F$132,'Report - Balance Sheet'!$B$1:$D$1,0)),"")</f>
        <v/>
      </c>
      <c r="G122" s="59"/>
      <c r="H122" s="59"/>
    </row>
    <row r="123" spans="1:8" ht="15.75" customHeight="1" outlineLevel="1" collapsed="1" x14ac:dyDescent="0.3">
      <c r="A123" s="34" t="s">
        <v>89</v>
      </c>
      <c r="B123" s="116">
        <f>IFERROR(INDEX('Report - Balance Sheet'!$B$2:$D$100,MATCH(VLOOKUP('Report Actual'!$A123,Lookups!$A$2:$B$100,2,FALSE),'Report - Balance Sheet'!$A$2:$A$100,0),MATCH('Report Actual'!B$132,'Report - Balance Sheet'!$B$1:$D$1,0)),"")</f>
        <v>0</v>
      </c>
      <c r="C123" s="58" t="s">
        <v>36</v>
      </c>
      <c r="D123" s="116">
        <f>IFERROR(INDEX('Report - Balance Sheet'!$B$2:$D$100,MATCH(VLOOKUP('Report Actual'!$A123,Lookups!$A$2:$B$100,2,FALSE),'Report - Balance Sheet'!$A$2:$A$100,0),MATCH('Report Actual'!D$132,'Report - Balance Sheet'!$B$1:$D$1,0)),"")</f>
        <v>0</v>
      </c>
      <c r="E123" s="58" t="s">
        <v>36</v>
      </c>
      <c r="F123" s="116" t="str">
        <f>IFERROR(INDEX('Report - Balance Sheet'!$B$2:$D$100,MATCH(VLOOKUP('Report Actual'!$A123,Lookups!$A$2:$B$100,2,FALSE),'Report - Balance Sheet'!$A$2:$A$100,0),MATCH('Report Actual'!F$132,'Report - Balance Sheet'!$B$1:$D$1,0)),"")</f>
        <v/>
      </c>
      <c r="G123" s="59"/>
      <c r="H123" s="59"/>
    </row>
    <row r="124" spans="1:8" ht="15.75" customHeight="1" outlineLevel="1" collapsed="1" x14ac:dyDescent="0.3">
      <c r="A124" s="34" t="s">
        <v>90</v>
      </c>
      <c r="B124" s="116">
        <f>IFERROR(INDEX('Report - Balance Sheet'!$B$2:$D$100,MATCH(VLOOKUP('Report Actual'!$A124,Lookups!$A$2:$B$100,2,FALSE),'Report - Balance Sheet'!$A$2:$A$100,0),MATCH('Report Actual'!B$132,'Report - Balance Sheet'!$B$1:$D$1,0)),"")</f>
        <v>0</v>
      </c>
      <c r="C124" s="36" t="s">
        <v>36</v>
      </c>
      <c r="D124" s="116">
        <f>IFERROR(INDEX('Report - Balance Sheet'!$B$2:$D$100,MATCH(VLOOKUP('Report Actual'!$A124,Lookups!$A$2:$B$100,2,FALSE),'Report - Balance Sheet'!$A$2:$A$100,0),MATCH('Report Actual'!D$132,'Report - Balance Sheet'!$B$1:$D$1,0)),"")</f>
        <v>0</v>
      </c>
      <c r="E124" s="36" t="s">
        <v>36</v>
      </c>
      <c r="F124" s="116" t="str">
        <f>IFERROR(INDEX('Report - Balance Sheet'!$B$2:$D$100,MATCH(VLOOKUP('Report Actual'!$A124,Lookups!$A$2:$B$100,2,FALSE),'Report - Balance Sheet'!$A$2:$A$100,0),MATCH('Report Actual'!F$132,'Report - Balance Sheet'!$B$1:$D$1,0)),"")</f>
        <v/>
      </c>
    </row>
    <row r="125" spans="1:8" ht="15.75" customHeight="1" outlineLevel="1" collapsed="1" x14ac:dyDescent="0.3">
      <c r="A125" s="34" t="s">
        <v>91</v>
      </c>
      <c r="B125" s="116">
        <f>IFERROR(INDEX('Report - Balance Sheet'!$B$2:$D$100,MATCH(VLOOKUP('Report Actual'!$A125,Lookups!$A$2:$B$100,2,FALSE),'Report - Balance Sheet'!$A$2:$A$100,0),MATCH('Report Actual'!B$132,'Report - Balance Sheet'!$B$1:$D$1,0)),"")</f>
        <v>0</v>
      </c>
      <c r="C125" s="58" t="s">
        <v>36</v>
      </c>
      <c r="D125" s="116">
        <f>IFERROR(INDEX('Report - Balance Sheet'!$B$2:$D$100,MATCH(VLOOKUP('Report Actual'!$A125,Lookups!$A$2:$B$100,2,FALSE),'Report - Balance Sheet'!$A$2:$A$100,0),MATCH('Report Actual'!D$132,'Report - Balance Sheet'!$B$1:$D$1,0)),"")</f>
        <v>0</v>
      </c>
      <c r="E125" s="58" t="s">
        <v>36</v>
      </c>
      <c r="F125" s="116" t="str">
        <f>IFERROR(INDEX('Report - Balance Sheet'!$B$2:$D$100,MATCH(VLOOKUP('Report Actual'!$A125,Lookups!$A$2:$B$100,2,FALSE),'Report - Balance Sheet'!$A$2:$A$100,0),MATCH('Report Actual'!F$132,'Report - Balance Sheet'!$B$1:$D$1,0)),"")</f>
        <v/>
      </c>
      <c r="G125" s="59"/>
      <c r="H125" s="59"/>
    </row>
    <row r="126" spans="1:8" ht="15.75" customHeight="1" outlineLevel="1" collapsed="1" x14ac:dyDescent="0.3">
      <c r="A126" s="34" t="s">
        <v>92</v>
      </c>
      <c r="B126" s="116">
        <f>IFERROR(INDEX('Report - Balance Sheet'!$B$2:$D$100,MATCH(VLOOKUP('Report Actual'!$A126,Lookups!$A$2:$B$100,2,FALSE),'Report - Balance Sheet'!$A$2:$A$100,0),MATCH('Report Actual'!B$132,'Report - Balance Sheet'!$B$1:$D$1,0)),"")</f>
        <v>0</v>
      </c>
      <c r="C126" s="58" t="s">
        <v>36</v>
      </c>
      <c r="D126" s="116">
        <f>IFERROR(INDEX('Report - Balance Sheet'!$B$2:$D$100,MATCH(VLOOKUP('Report Actual'!$A126,Lookups!$A$2:$B$100,2,FALSE),'Report - Balance Sheet'!$A$2:$A$100,0),MATCH('Report Actual'!D$132,'Report - Balance Sheet'!$B$1:$D$1,0)),"")</f>
        <v>0</v>
      </c>
      <c r="E126" s="58" t="s">
        <v>36</v>
      </c>
      <c r="F126" s="116" t="str">
        <f>IFERROR(INDEX('Report - Balance Sheet'!$B$2:$D$100,MATCH(VLOOKUP('Report Actual'!$A126,Lookups!$A$2:$B$100,2,FALSE),'Report - Balance Sheet'!$A$2:$A$100,0),MATCH('Report Actual'!F$132,'Report - Balance Sheet'!$B$1:$D$1,0)),"")</f>
        <v/>
      </c>
      <c r="G126" s="59"/>
      <c r="H126" s="59"/>
    </row>
    <row r="127" spans="1:8" ht="15.75" customHeight="1" outlineLevel="1" collapsed="1" x14ac:dyDescent="0.3">
      <c r="A127" s="34" t="s">
        <v>93</v>
      </c>
      <c r="B127" s="116">
        <f>IFERROR(INDEX('Report - Balance Sheet'!$B$2:$D$100,MATCH(VLOOKUP('Report Actual'!$A127,Lookups!$A$2:$B$100,2,FALSE),'Report - Balance Sheet'!$A$2:$A$100,0),MATCH('Report Actual'!B$132,'Report - Balance Sheet'!$B$1:$D$1,0)),"")</f>
        <v>0</v>
      </c>
      <c r="C127" s="58" t="s">
        <v>36</v>
      </c>
      <c r="D127" s="116">
        <f>IFERROR(INDEX('Report - Balance Sheet'!$B$2:$D$100,MATCH(VLOOKUP('Report Actual'!$A127,Lookups!$A$2:$B$100,2,FALSE),'Report - Balance Sheet'!$A$2:$A$100,0),MATCH('Report Actual'!D$132,'Report - Balance Sheet'!$B$1:$D$1,0)),"")</f>
        <v>0</v>
      </c>
      <c r="E127" s="58" t="s">
        <v>36</v>
      </c>
      <c r="F127" s="116" t="str">
        <f>IFERROR(INDEX('Report - Balance Sheet'!$B$2:$D$100,MATCH(VLOOKUP('Report Actual'!$A127,Lookups!$A$2:$B$100,2,FALSE),'Report - Balance Sheet'!$A$2:$A$100,0),MATCH('Report Actual'!F$132,'Report - Balance Sheet'!$B$1:$D$1,0)),"")</f>
        <v/>
      </c>
      <c r="G127" s="59"/>
      <c r="H127" s="59"/>
    </row>
    <row r="128" spans="1:8" s="16" customFormat="1" ht="15.75" customHeight="1" outlineLevel="1" collapsed="1" x14ac:dyDescent="0.3">
      <c r="A128" s="65" t="s">
        <v>94</v>
      </c>
      <c r="B128" s="67">
        <f>IF(SUM(B118:B127)=0,"",SUM(B118:B127))</f>
        <v>6003313</v>
      </c>
      <c r="C128" s="66" t="s">
        <v>36</v>
      </c>
      <c r="D128" s="67">
        <f>IF(SUM(D118:D127)=0,"",SUM(D118:D127))</f>
        <v>1325194</v>
      </c>
      <c r="E128" s="66" t="s">
        <v>36</v>
      </c>
      <c r="F128" s="67" t="str">
        <f>IF(F95="","",SUM(F118:F127))</f>
        <v/>
      </c>
      <c r="G128" s="67"/>
      <c r="H128" s="68"/>
    </row>
    <row r="129" spans="1:8" s="16" customFormat="1" ht="15.75" customHeight="1" outlineLevel="1" collapsed="1" x14ac:dyDescent="0.3">
      <c r="A129" s="69" t="s">
        <v>17</v>
      </c>
      <c r="B129" s="71">
        <f>IFERROR(B128+B115,"")</f>
        <v>10771905</v>
      </c>
      <c r="C129" s="70" t="s">
        <v>36</v>
      </c>
      <c r="D129" s="71">
        <f>IFERROR(D128+D115,"")</f>
        <v>5812450</v>
      </c>
      <c r="E129" s="70" t="s">
        <v>36</v>
      </c>
      <c r="F129" s="71" t="str">
        <f>IFERROR(F128+F115,"")</f>
        <v/>
      </c>
      <c r="G129" s="71"/>
      <c r="H129" s="55"/>
    </row>
    <row r="130" spans="1:8" ht="15.75" customHeight="1" x14ac:dyDescent="0.3">
      <c r="B130" s="16"/>
      <c r="D130" s="16"/>
      <c r="F130" s="16"/>
    </row>
    <row r="131" spans="1:8" ht="15.75" customHeight="1" x14ac:dyDescent="0.3">
      <c r="A131" s="3" t="s">
        <v>404</v>
      </c>
      <c r="B131" s="4"/>
      <c r="C131" s="4"/>
      <c r="D131" s="4"/>
      <c r="E131" s="4"/>
      <c r="F131" s="4"/>
      <c r="G131" s="4"/>
      <c r="H131" s="4"/>
    </row>
    <row r="132" spans="1:8" s="16" customFormat="1" ht="15.75" customHeight="1" outlineLevel="1" collapsed="1" x14ac:dyDescent="0.3">
      <c r="A132" s="40" t="s">
        <v>30</v>
      </c>
      <c r="B132" s="41" t="str">
        <f>+B95</f>
        <v>2025-02-28</v>
      </c>
      <c r="C132" s="42"/>
      <c r="D132" s="41" t="str">
        <f>+D95</f>
        <v>2024-02-28</v>
      </c>
      <c r="E132" s="42"/>
      <c r="F132" s="41" t="str">
        <f>+F95</f>
        <v/>
      </c>
      <c r="G132" s="41"/>
      <c r="H132" s="43"/>
    </row>
    <row r="133" spans="1:8" ht="15.75" customHeight="1" outlineLevel="1" collapsed="1" x14ac:dyDescent="0.3">
      <c r="A133" s="72" t="s">
        <v>95</v>
      </c>
      <c r="B133" s="73"/>
      <c r="C133" s="74"/>
      <c r="D133" s="73"/>
      <c r="E133" s="74"/>
      <c r="F133" s="73"/>
      <c r="G133" s="74"/>
      <c r="H133" s="74"/>
    </row>
    <row r="134" spans="1:8" ht="15.75" customHeight="1" outlineLevel="1" collapsed="1" x14ac:dyDescent="0.3">
      <c r="A134" s="34" t="s">
        <v>96</v>
      </c>
      <c r="B134" s="116">
        <f>IFERROR(INDEX('Report - Balance Sheet'!$B$2:$D$100,MATCH(VLOOKUP('Report Actual'!$A134,Lookups!$A$2:$B$100,2,FALSE),'Report - Balance Sheet'!$A$2:$A$100,0),MATCH('Report Actual'!B$132,'Report - Balance Sheet'!$B$1:$D$1,0)),"")</f>
        <v>0</v>
      </c>
      <c r="C134" s="58" t="s">
        <v>36</v>
      </c>
      <c r="D134" s="116">
        <f>IFERROR(INDEX('Report - Balance Sheet'!$B$2:$D$100,MATCH(VLOOKUP('Report Actual'!$A134,Lookups!$A$2:$B$100,2,FALSE),'Report - Balance Sheet'!$A$2:$A$100,0),MATCH('Report Actual'!D$132,'Report - Balance Sheet'!$B$1:$D$1,0)),"")</f>
        <v>0</v>
      </c>
      <c r="E134" s="58" t="s">
        <v>36</v>
      </c>
      <c r="F134" s="116" t="str">
        <f>IFERROR(INDEX('Report - Balance Sheet'!$B$2:$D$100,MATCH(VLOOKUP('Report Actual'!$A134,Lookups!$A$2:$B$100,2,FALSE),'Report - Balance Sheet'!$A$2:$A$100,0),MATCH('Report Actual'!F$132,'Report - Balance Sheet'!$B$1:$D$1,0)),"")</f>
        <v/>
      </c>
      <c r="G134" s="59"/>
      <c r="H134" s="59"/>
    </row>
    <row r="135" spans="1:8" ht="15.75" customHeight="1" outlineLevel="1" collapsed="1" x14ac:dyDescent="0.3">
      <c r="A135" s="34" t="s">
        <v>97</v>
      </c>
      <c r="B135" s="116">
        <f>IFERROR(INDEX('Report - Balance Sheet'!$B$2:$D$100,MATCH(VLOOKUP('Report Actual'!$A135,Lookups!$A$2:$B$100,2,FALSE),'Report - Balance Sheet'!$A$2:$A$100,0),MATCH('Report Actual'!B$132,'Report - Balance Sheet'!$B$1:$D$1,0)),"")</f>
        <v>0</v>
      </c>
      <c r="C135" s="36" t="s">
        <v>36</v>
      </c>
      <c r="D135" s="116">
        <f>IFERROR(INDEX('Report - Balance Sheet'!$B$2:$D$100,MATCH(VLOOKUP('Report Actual'!$A135,Lookups!$A$2:$B$100,2,FALSE),'Report - Balance Sheet'!$A$2:$A$100,0),MATCH('Report Actual'!D$132,'Report - Balance Sheet'!$B$1:$D$1,0)),"")</f>
        <v>0</v>
      </c>
      <c r="E135" s="36" t="s">
        <v>36</v>
      </c>
      <c r="F135" s="116" t="str">
        <f>IFERROR(INDEX('Report - Balance Sheet'!$B$2:$D$100,MATCH(VLOOKUP('Report Actual'!$A135,Lookups!$A$2:$B$100,2,FALSE),'Report - Balance Sheet'!$A$2:$A$100,0),MATCH('Report Actual'!F$132,'Report - Balance Sheet'!$B$1:$D$1,0)),"")</f>
        <v/>
      </c>
    </row>
    <row r="136" spans="1:8" ht="15.75" customHeight="1" outlineLevel="1" collapsed="1" x14ac:dyDescent="0.3">
      <c r="A136" s="34" t="s">
        <v>98</v>
      </c>
      <c r="B136" s="116">
        <f>IFERROR(INDEX('Report - Balance Sheet'!$B$2:$D$100,MATCH(VLOOKUP('Report Actual'!$A136,Lookups!$A$2:$B$100,2,FALSE),'Report - Balance Sheet'!$A$2:$A$100,0),MATCH('Report Actual'!B$132,'Report - Balance Sheet'!$B$1:$D$1,0)),"")</f>
        <v>0</v>
      </c>
      <c r="C136" s="58" t="s">
        <v>36</v>
      </c>
      <c r="D136" s="116">
        <f>IFERROR(INDEX('Report - Balance Sheet'!$B$2:$D$100,MATCH(VLOOKUP('Report Actual'!$A136,Lookups!$A$2:$B$100,2,FALSE),'Report - Balance Sheet'!$A$2:$A$100,0),MATCH('Report Actual'!D$132,'Report - Balance Sheet'!$B$1:$D$1,0)),"")</f>
        <v>0</v>
      </c>
      <c r="E136" s="58" t="s">
        <v>36</v>
      </c>
      <c r="F136" s="116" t="str">
        <f>IFERROR(INDEX('Report - Balance Sheet'!$B$2:$D$100,MATCH(VLOOKUP('Report Actual'!$A136,Lookups!$A$2:$B$100,2,FALSE),'Report - Balance Sheet'!$A$2:$A$100,0),MATCH('Report Actual'!F$132,'Report - Balance Sheet'!$B$1:$D$1,0)),"")</f>
        <v/>
      </c>
      <c r="G136" s="59"/>
      <c r="H136" s="59"/>
    </row>
    <row r="137" spans="1:8" ht="15.75" customHeight="1" outlineLevel="1" collapsed="1" x14ac:dyDescent="0.3">
      <c r="A137" s="34" t="s">
        <v>99</v>
      </c>
      <c r="B137" s="116">
        <f>IFERROR(INDEX('Report - Balance Sheet'!$B$2:$D$100,MATCH(VLOOKUP('Report Actual'!$A137,Lookups!$A$2:$B$100,2,FALSE),'Report - Balance Sheet'!$A$2:$A$100,0),MATCH('Report Actual'!B$132,'Report - Balance Sheet'!$B$1:$D$1,0)),"")</f>
        <v>0</v>
      </c>
      <c r="C137" s="58" t="s">
        <v>36</v>
      </c>
      <c r="D137" s="116">
        <f>IFERROR(INDEX('Report - Balance Sheet'!$B$2:$D$100,MATCH(VLOOKUP('Report Actual'!$A137,Lookups!$A$2:$B$100,2,FALSE),'Report - Balance Sheet'!$A$2:$A$100,0),MATCH('Report Actual'!D$132,'Report - Balance Sheet'!$B$1:$D$1,0)),"")</f>
        <v>0</v>
      </c>
      <c r="E137" s="58" t="s">
        <v>36</v>
      </c>
      <c r="F137" s="116" t="str">
        <f>IFERROR(INDEX('Report - Balance Sheet'!$B$2:$D$100,MATCH(VLOOKUP('Report Actual'!$A137,Lookups!$A$2:$B$100,2,FALSE),'Report - Balance Sheet'!$A$2:$A$100,0),MATCH('Report Actual'!F$132,'Report - Balance Sheet'!$B$1:$D$1,0)),"")</f>
        <v/>
      </c>
      <c r="G137" s="59"/>
      <c r="H137" s="59"/>
    </row>
    <row r="138" spans="1:8" ht="15.75" customHeight="1" outlineLevel="1" collapsed="1" x14ac:dyDescent="0.3">
      <c r="A138" s="34" t="s">
        <v>100</v>
      </c>
      <c r="B138" s="116">
        <f>IFERROR(INDEX('Report - Balance Sheet'!$B$2:$D$100,MATCH(VLOOKUP('Report Actual'!$A138,Lookups!$A$2:$B$100,2,FALSE),'Report - Balance Sheet'!$A$2:$A$100,0),MATCH('Report Actual'!B$132,'Report - Balance Sheet'!$B$1:$D$1,0)),"")</f>
        <v>430433</v>
      </c>
      <c r="C138" s="58" t="s">
        <v>36</v>
      </c>
      <c r="D138" s="116">
        <f>IFERROR(INDEX('Report - Balance Sheet'!$B$2:$D$100,MATCH(VLOOKUP('Report Actual'!$A138,Lookups!$A$2:$B$100,2,FALSE),'Report - Balance Sheet'!$A$2:$A$100,0),MATCH('Report Actual'!D$132,'Report - Balance Sheet'!$B$1:$D$1,0)),"")</f>
        <v>0</v>
      </c>
      <c r="E138" s="58" t="s">
        <v>36</v>
      </c>
      <c r="F138" s="116" t="str">
        <f>IFERROR(INDEX('Report - Balance Sheet'!$B$2:$D$100,MATCH(VLOOKUP('Report Actual'!$A138,Lookups!$A$2:$B$100,2,FALSE),'Report - Balance Sheet'!$A$2:$A$100,0),MATCH('Report Actual'!F$132,'Report - Balance Sheet'!$B$1:$D$1,0)),"")</f>
        <v/>
      </c>
      <c r="G138" s="59"/>
      <c r="H138" s="59"/>
    </row>
    <row r="139" spans="1:8" ht="15.75" customHeight="1" outlineLevel="1" collapsed="1" x14ac:dyDescent="0.3">
      <c r="A139" s="34" t="s">
        <v>101</v>
      </c>
      <c r="B139" s="116">
        <f>IFERROR(INDEX('Report - Balance Sheet'!$B$2:$D$100,MATCH(VLOOKUP('Report Actual'!$A139,Lookups!$A$2:$B$100,2,FALSE),'Report - Balance Sheet'!$A$2:$A$100,0),MATCH('Report Actual'!B$132,'Report - Balance Sheet'!$B$1:$D$1,0)),"")</f>
        <v>0</v>
      </c>
      <c r="C139" s="58" t="s">
        <v>36</v>
      </c>
      <c r="D139" s="116">
        <f>IFERROR(INDEX('Report - Balance Sheet'!$B$2:$D$100,MATCH(VLOOKUP('Report Actual'!$A139,Lookups!$A$2:$B$100,2,FALSE),'Report - Balance Sheet'!$A$2:$A$100,0),MATCH('Report Actual'!D$132,'Report - Balance Sheet'!$B$1:$D$1,0)),"")</f>
        <v>0</v>
      </c>
      <c r="E139" s="58" t="s">
        <v>36</v>
      </c>
      <c r="F139" s="116" t="str">
        <f>IFERROR(INDEX('Report - Balance Sheet'!$B$2:$D$100,MATCH(VLOOKUP('Report Actual'!$A139,Lookups!$A$2:$B$100,2,FALSE),'Report - Balance Sheet'!$A$2:$A$100,0),MATCH('Report Actual'!F$132,'Report - Balance Sheet'!$B$1:$D$1,0)),"")</f>
        <v/>
      </c>
      <c r="G139" s="59"/>
      <c r="H139" s="59"/>
    </row>
    <row r="140" spans="1:8" ht="15.75" customHeight="1" outlineLevel="1" collapsed="1" x14ac:dyDescent="0.3">
      <c r="A140" s="34" t="s">
        <v>102</v>
      </c>
      <c r="B140" s="116">
        <f>IFERROR(INDEX('Report - Balance Sheet'!$B$2:$D$100,MATCH(VLOOKUP('Report Actual'!$A140,Lookups!$A$2:$B$100,2,FALSE),'Report - Balance Sheet'!$A$2:$A$100,0),MATCH('Report Actual'!B$132,'Report - Balance Sheet'!$B$1:$D$1,0)),"")</f>
        <v>0</v>
      </c>
      <c r="C140" s="36" t="s">
        <v>36</v>
      </c>
      <c r="D140" s="116">
        <f>IFERROR(INDEX('Report - Balance Sheet'!$B$2:$D$100,MATCH(VLOOKUP('Report Actual'!$A140,Lookups!$A$2:$B$100,2,FALSE),'Report - Balance Sheet'!$A$2:$A$100,0),MATCH('Report Actual'!D$132,'Report - Balance Sheet'!$B$1:$D$1,0)),"")</f>
        <v>0</v>
      </c>
      <c r="E140" s="36" t="s">
        <v>36</v>
      </c>
      <c r="F140" s="116" t="str">
        <f>IFERROR(INDEX('Report - Balance Sheet'!$B$2:$D$100,MATCH(VLOOKUP('Report Actual'!$A140,Lookups!$A$2:$B$100,2,FALSE),'Report - Balance Sheet'!$A$2:$A$100,0),MATCH('Report Actual'!F$132,'Report - Balance Sheet'!$B$1:$D$1,0)),"")</f>
        <v/>
      </c>
    </row>
    <row r="141" spans="1:8" ht="15.75" customHeight="1" outlineLevel="1" collapsed="1" x14ac:dyDescent="0.3">
      <c r="A141" s="34" t="s">
        <v>103</v>
      </c>
      <c r="B141" s="116">
        <f>IFERROR(INDEX('Report - Balance Sheet'!$B$2:$D$100,MATCH(VLOOKUP('Report Actual'!$A141,Lookups!$A$2:$B$100,2,FALSE),'Report - Balance Sheet'!$A$2:$A$100,0),MATCH('Report Actual'!B$132,'Report - Balance Sheet'!$B$1:$D$1,0)),"")</f>
        <v>0</v>
      </c>
      <c r="C141" s="58" t="s">
        <v>36</v>
      </c>
      <c r="D141" s="116">
        <f>IFERROR(INDEX('Report - Balance Sheet'!$B$2:$D$100,MATCH(VLOOKUP('Report Actual'!$A141,Lookups!$A$2:$B$100,2,FALSE),'Report - Balance Sheet'!$A$2:$A$100,0),MATCH('Report Actual'!D$132,'Report - Balance Sheet'!$B$1:$D$1,0)),"")</f>
        <v>0</v>
      </c>
      <c r="E141" s="58" t="s">
        <v>36</v>
      </c>
      <c r="F141" s="116" t="str">
        <f>IFERROR(INDEX('Report - Balance Sheet'!$B$2:$D$100,MATCH(VLOOKUP('Report Actual'!$A141,Lookups!$A$2:$B$100,2,FALSE),'Report - Balance Sheet'!$A$2:$A$100,0),MATCH('Report Actual'!F$132,'Report - Balance Sheet'!$B$1:$D$1,0)),"")</f>
        <v/>
      </c>
      <c r="G141" s="59"/>
      <c r="H141" s="59"/>
    </row>
    <row r="142" spans="1:8" ht="15.75" customHeight="1" outlineLevel="1" collapsed="1" x14ac:dyDescent="0.3">
      <c r="A142" s="34" t="s">
        <v>104</v>
      </c>
      <c r="B142" s="116">
        <f>IFERROR(INDEX('Report - Balance Sheet'!$B$2:$D$100,MATCH(VLOOKUP('Report Actual'!$A142,Lookups!$A$2:$B$100,2,FALSE),'Report - Balance Sheet'!$A$2:$A$100,0),MATCH('Report Actual'!B$132,'Report - Balance Sheet'!$B$1:$D$1,0)),"")</f>
        <v>0</v>
      </c>
      <c r="C142" s="58" t="s">
        <v>36</v>
      </c>
      <c r="D142" s="116">
        <f>IFERROR(INDEX('Report - Balance Sheet'!$B$2:$D$100,MATCH(VLOOKUP('Report Actual'!$A142,Lookups!$A$2:$B$100,2,FALSE),'Report - Balance Sheet'!$A$2:$A$100,0),MATCH('Report Actual'!D$132,'Report - Balance Sheet'!$B$1:$D$1,0)),"")</f>
        <v>0</v>
      </c>
      <c r="E142" s="58" t="s">
        <v>36</v>
      </c>
      <c r="F142" s="116" t="str">
        <f>IFERROR(INDEX('Report - Balance Sheet'!$B$2:$D$100,MATCH(VLOOKUP('Report Actual'!$A142,Lookups!$A$2:$B$100,2,FALSE),'Report - Balance Sheet'!$A$2:$A$100,0),MATCH('Report Actual'!F$132,'Report - Balance Sheet'!$B$1:$D$1,0)),"")</f>
        <v/>
      </c>
      <c r="G142" s="59"/>
      <c r="H142" s="59"/>
    </row>
    <row r="143" spans="1:8" ht="15.75" customHeight="1" outlineLevel="1" collapsed="1" x14ac:dyDescent="0.3">
      <c r="A143" s="34" t="s">
        <v>105</v>
      </c>
      <c r="B143" s="116">
        <f>IFERROR(INDEX('Report - Balance Sheet'!$B$2:$D$100,MATCH(VLOOKUP('Report Actual'!$A143,Lookups!$A$2:$B$100,2,FALSE),'Report - Balance Sheet'!$A$2:$A$100,0),MATCH('Report Actual'!B$132,'Report - Balance Sheet'!$B$1:$D$1,0)),"")</f>
        <v>0</v>
      </c>
      <c r="C143" s="58" t="s">
        <v>36</v>
      </c>
      <c r="D143" s="116">
        <f>IFERROR(INDEX('Report - Balance Sheet'!$B$2:$D$100,MATCH(VLOOKUP('Report Actual'!$A143,Lookups!$A$2:$B$100,2,FALSE),'Report - Balance Sheet'!$A$2:$A$100,0),MATCH('Report Actual'!D$132,'Report - Balance Sheet'!$B$1:$D$1,0)),"")</f>
        <v>0</v>
      </c>
      <c r="E143" s="58" t="s">
        <v>36</v>
      </c>
      <c r="F143" s="116" t="str">
        <f>IFERROR(INDEX('Report - Balance Sheet'!$B$2:$D$100,MATCH(VLOOKUP('Report Actual'!$A143,Lookups!$A$2:$B$100,2,FALSE),'Report - Balance Sheet'!$A$2:$A$100,0),MATCH('Report Actual'!F$132,'Report - Balance Sheet'!$B$1:$D$1,0)),"")</f>
        <v/>
      </c>
      <c r="G143" s="59"/>
      <c r="H143" s="59"/>
    </row>
    <row r="144" spans="1:8" ht="15.75" customHeight="1" outlineLevel="1" collapsed="1" x14ac:dyDescent="0.3">
      <c r="A144" s="34" t="s">
        <v>106</v>
      </c>
      <c r="B144" s="116">
        <f>IFERROR(INDEX('Report - Balance Sheet'!$B$2:$D$100,MATCH(VLOOKUP('Report Actual'!$A144,Lookups!$A$2:$B$100,2,FALSE),'Report - Balance Sheet'!$A$2:$A$100,0),MATCH('Report Actual'!B$132,'Report - Balance Sheet'!$B$1:$D$1,0)),"")</f>
        <v>0</v>
      </c>
      <c r="C144" s="58" t="s">
        <v>36</v>
      </c>
      <c r="D144" s="116">
        <f>IFERROR(INDEX('Report - Balance Sheet'!$B$2:$D$100,MATCH(VLOOKUP('Report Actual'!$A144,Lookups!$A$2:$B$100,2,FALSE),'Report - Balance Sheet'!$A$2:$A$100,0),MATCH('Report Actual'!D$132,'Report - Balance Sheet'!$B$1:$D$1,0)),"")</f>
        <v>0</v>
      </c>
      <c r="E144" s="58" t="s">
        <v>36</v>
      </c>
      <c r="F144" s="116" t="str">
        <f>IFERROR(INDEX('Report - Balance Sheet'!$B$2:$D$100,MATCH(VLOOKUP('Report Actual'!$A144,Lookups!$A$2:$B$100,2,FALSE),'Report - Balance Sheet'!$A$2:$A$100,0),MATCH('Report Actual'!F$132,'Report - Balance Sheet'!$B$1:$D$1,0)),"")</f>
        <v/>
      </c>
      <c r="G144" s="59"/>
      <c r="H144" s="59"/>
    </row>
    <row r="145" spans="1:8" ht="15.75" customHeight="1" outlineLevel="1" collapsed="1" x14ac:dyDescent="0.3">
      <c r="A145" s="34" t="s">
        <v>107</v>
      </c>
      <c r="B145" s="116">
        <f>IFERROR(INDEX('Report - Balance Sheet'!$B$2:$D$100,MATCH(VLOOKUP('Report Actual'!$A145,Lookups!$A$2:$B$100,2,FALSE),'Report - Balance Sheet'!$A$2:$A$100,0),MATCH('Report Actual'!B$132,'Report - Balance Sheet'!$B$1:$D$1,0)),"")</f>
        <v>0</v>
      </c>
      <c r="C145" s="58" t="s">
        <v>36</v>
      </c>
      <c r="D145" s="116">
        <f>IFERROR(INDEX('Report - Balance Sheet'!$B$2:$D$100,MATCH(VLOOKUP('Report Actual'!$A145,Lookups!$A$2:$B$100,2,FALSE),'Report - Balance Sheet'!$A$2:$A$100,0),MATCH('Report Actual'!D$132,'Report - Balance Sheet'!$B$1:$D$1,0)),"")</f>
        <v>0</v>
      </c>
      <c r="E145" s="58" t="s">
        <v>36</v>
      </c>
      <c r="F145" s="116" t="str">
        <f>IFERROR(INDEX('Report - Balance Sheet'!$B$2:$D$100,MATCH(VLOOKUP('Report Actual'!$A145,Lookups!$A$2:$B$100,2,FALSE),'Report - Balance Sheet'!$A$2:$A$100,0),MATCH('Report Actual'!F$132,'Report - Balance Sheet'!$B$1:$D$1,0)),"")</f>
        <v/>
      </c>
      <c r="G145" s="59"/>
      <c r="H145" s="59"/>
    </row>
    <row r="146" spans="1:8" ht="15.75" customHeight="1" outlineLevel="1" collapsed="1" x14ac:dyDescent="0.3">
      <c r="A146" s="34" t="s">
        <v>108</v>
      </c>
      <c r="B146" s="116">
        <f>IFERROR(INDEX('Report - Balance Sheet'!$B$2:$D$100,MATCH(VLOOKUP('Report Actual'!$A146,Lookups!$A$2:$B$100,2,FALSE),'Report - Balance Sheet'!$A$2:$A$100,0),MATCH('Report Actual'!B$132,'Report - Balance Sheet'!$B$1:$D$1,0)),"")</f>
        <v>0</v>
      </c>
      <c r="C146" s="58" t="s">
        <v>36</v>
      </c>
      <c r="D146" s="116">
        <f>IFERROR(INDEX('Report - Balance Sheet'!$B$2:$D$100,MATCH(VLOOKUP('Report Actual'!$A146,Lookups!$A$2:$B$100,2,FALSE),'Report - Balance Sheet'!$A$2:$A$100,0),MATCH('Report Actual'!D$132,'Report - Balance Sheet'!$B$1:$D$1,0)),"")</f>
        <v>0</v>
      </c>
      <c r="E146" s="58" t="s">
        <v>36</v>
      </c>
      <c r="F146" s="116" t="str">
        <f>IFERROR(INDEX('Report - Balance Sheet'!$B$2:$D$100,MATCH(VLOOKUP('Report Actual'!$A146,Lookups!$A$2:$B$100,2,FALSE),'Report - Balance Sheet'!$A$2:$A$100,0),MATCH('Report Actual'!F$132,'Report - Balance Sheet'!$B$1:$D$1,0)),"")</f>
        <v/>
      </c>
      <c r="G146" s="59"/>
      <c r="H146" s="59"/>
    </row>
    <row r="147" spans="1:8" ht="15.75" customHeight="1" outlineLevel="1" collapsed="1" x14ac:dyDescent="0.3">
      <c r="A147" s="34" t="s">
        <v>109</v>
      </c>
      <c r="B147" s="116">
        <f>IFERROR(INDEX('Report - Balance Sheet'!$B$2:$D$100,MATCH(VLOOKUP('Report Actual'!$A147,Lookups!$A$2:$B$100,2,FALSE),'Report - Balance Sheet'!$A$2:$A$100,0),MATCH('Report Actual'!B$132,'Report - Balance Sheet'!$B$1:$D$1,0)),"")</f>
        <v>0</v>
      </c>
      <c r="C147" s="58" t="s">
        <v>36</v>
      </c>
      <c r="D147" s="116">
        <f>IFERROR(INDEX('Report - Balance Sheet'!$B$2:$D$100,MATCH(VLOOKUP('Report Actual'!$A147,Lookups!$A$2:$B$100,2,FALSE),'Report - Balance Sheet'!$A$2:$A$100,0),MATCH('Report Actual'!D$132,'Report - Balance Sheet'!$B$1:$D$1,0)),"")</f>
        <v>0</v>
      </c>
      <c r="E147" s="58" t="s">
        <v>36</v>
      </c>
      <c r="F147" s="116" t="str">
        <f>IFERROR(INDEX('Report - Balance Sheet'!$B$2:$D$100,MATCH(VLOOKUP('Report Actual'!$A147,Lookups!$A$2:$B$100,2,FALSE),'Report - Balance Sheet'!$A$2:$A$100,0),MATCH('Report Actual'!F$132,'Report - Balance Sheet'!$B$1:$D$1,0)),"")</f>
        <v/>
      </c>
      <c r="G147" s="59"/>
      <c r="H147" s="59"/>
    </row>
    <row r="148" spans="1:8" s="16" customFormat="1" ht="15.75" customHeight="1" outlineLevel="1" collapsed="1" x14ac:dyDescent="0.3">
      <c r="A148" s="65" t="s">
        <v>110</v>
      </c>
      <c r="B148" s="67">
        <f>IF(SUM(B134:B147)=0,"",SUM(B134:B147))</f>
        <v>430433</v>
      </c>
      <c r="C148" s="66" t="s">
        <v>36</v>
      </c>
      <c r="D148" s="67" t="str">
        <f>IF(SUM(D134:D147)=0,"",SUM(D134:D147))</f>
        <v/>
      </c>
      <c r="E148" s="66" t="s">
        <v>36</v>
      </c>
      <c r="F148" s="108" t="str">
        <f>IF(F132="","",SUM(F134:F147))</f>
        <v/>
      </c>
      <c r="G148" s="67"/>
      <c r="H148" s="68"/>
    </row>
    <row r="149" spans="1:8" ht="15.75" customHeight="1" outlineLevel="1" collapsed="1" x14ac:dyDescent="0.3">
      <c r="B149" s="16"/>
      <c r="D149" s="16"/>
      <c r="F149" s="16"/>
    </row>
    <row r="150" spans="1:8" ht="15.75" customHeight="1" outlineLevel="1" collapsed="1" x14ac:dyDescent="0.3">
      <c r="A150" s="13" t="s">
        <v>111</v>
      </c>
      <c r="B150" s="16"/>
      <c r="D150" s="16"/>
      <c r="F150" s="16"/>
    </row>
    <row r="151" spans="1:8" ht="15.75" customHeight="1" outlineLevel="1" collapsed="1" x14ac:dyDescent="0.3">
      <c r="A151" s="34" t="s">
        <v>112</v>
      </c>
      <c r="B151" s="116">
        <f>IFERROR(INDEX('Report - Balance Sheet'!$B$2:$D$100,MATCH(VLOOKUP('Report Actual'!$A151,Lookups!$A$2:$B$100,2,FALSE),'Report - Balance Sheet'!$A$2:$A$100,0),MATCH('Report Actual'!B$132,'Report - Balance Sheet'!$B$1:$D$1,0)),"")</f>
        <v>0</v>
      </c>
      <c r="C151" s="58" t="s">
        <v>36</v>
      </c>
      <c r="D151" s="116">
        <f>IFERROR(INDEX('Report - Balance Sheet'!$B$2:$D$100,MATCH(VLOOKUP('Report Actual'!$A151,Lookups!$A$2:$B$100,2,FALSE),'Report - Balance Sheet'!$A$2:$A$100,0),MATCH('Report Actual'!D$132,'Report - Balance Sheet'!$B$1:$D$1,0)),"")</f>
        <v>0</v>
      </c>
      <c r="E151" s="58" t="s">
        <v>36</v>
      </c>
      <c r="F151" s="116" t="str">
        <f>IFERROR(INDEX('Report - Balance Sheet'!$B$2:$D$100,MATCH(VLOOKUP('Report Actual'!$A151,Lookups!$A$2:$B$100,2,FALSE),'Report - Balance Sheet'!$A$2:$A$100,0),MATCH('Report Actual'!F$132,'Report - Balance Sheet'!$B$1:$D$1,0)),"")</f>
        <v/>
      </c>
    </row>
    <row r="152" spans="1:8" ht="15.75" customHeight="1" outlineLevel="1" collapsed="1" x14ac:dyDescent="0.3">
      <c r="A152" s="34" t="s">
        <v>113</v>
      </c>
      <c r="B152" s="116">
        <f>IFERROR(INDEX('Report - Balance Sheet'!$B$2:$D$100,MATCH(VLOOKUP('Report Actual'!$A152,Lookups!$A$2:$B$100,2,FALSE),'Report - Balance Sheet'!$A$2:$A$100,0),MATCH('Report Actual'!B$132,'Report - Balance Sheet'!$B$1:$D$1,0)),"")</f>
        <v>0</v>
      </c>
      <c r="C152" s="58" t="s">
        <v>36</v>
      </c>
      <c r="D152" s="116">
        <f>IFERROR(INDEX('Report - Balance Sheet'!$B$2:$D$100,MATCH(VLOOKUP('Report Actual'!$A152,Lookups!$A$2:$B$100,2,FALSE),'Report - Balance Sheet'!$A$2:$A$100,0),MATCH('Report Actual'!D$132,'Report - Balance Sheet'!$B$1:$D$1,0)),"")</f>
        <v>0</v>
      </c>
      <c r="E152" s="58" t="s">
        <v>36</v>
      </c>
      <c r="F152" s="116" t="str">
        <f>IFERROR(INDEX('Report - Balance Sheet'!$B$2:$D$100,MATCH(VLOOKUP('Report Actual'!$A152,Lookups!$A$2:$B$100,2,FALSE),'Report - Balance Sheet'!$A$2:$A$100,0),MATCH('Report Actual'!F$132,'Report - Balance Sheet'!$B$1:$D$1,0)),"")</f>
        <v/>
      </c>
    </row>
    <row r="153" spans="1:8" ht="15.75" customHeight="1" outlineLevel="1" collapsed="1" x14ac:dyDescent="0.3">
      <c r="A153" s="34" t="s">
        <v>114</v>
      </c>
      <c r="B153" s="116">
        <f>IFERROR(INDEX('Report - Balance Sheet'!$B$2:$D$100,MATCH(VLOOKUP('Report Actual'!$A153,Lookups!$A$2:$B$100,2,FALSE),'Report - Balance Sheet'!$A$2:$A$100,0),MATCH('Report Actual'!B$132,'Report - Balance Sheet'!$B$1:$D$1,0)),"")</f>
        <v>0</v>
      </c>
      <c r="C153" s="58" t="s">
        <v>36</v>
      </c>
      <c r="D153" s="116">
        <f>IFERROR(INDEX('Report - Balance Sheet'!$B$2:$D$100,MATCH(VLOOKUP('Report Actual'!$A153,Lookups!$A$2:$B$100,2,FALSE),'Report - Balance Sheet'!$A$2:$A$100,0),MATCH('Report Actual'!D$132,'Report - Balance Sheet'!$B$1:$D$1,0)),"")</f>
        <v>0</v>
      </c>
      <c r="E153" s="58" t="s">
        <v>36</v>
      </c>
      <c r="F153" s="116" t="str">
        <f>IFERROR(INDEX('Report - Balance Sheet'!$B$2:$D$100,MATCH(VLOOKUP('Report Actual'!$A153,Lookups!$A$2:$B$100,2,FALSE),'Report - Balance Sheet'!$A$2:$A$100,0),MATCH('Report Actual'!F$132,'Report - Balance Sheet'!$B$1:$D$1,0)),"")</f>
        <v/>
      </c>
    </row>
    <row r="154" spans="1:8" ht="15.75" customHeight="1" outlineLevel="1" collapsed="1" x14ac:dyDescent="0.3">
      <c r="A154" s="34" t="s">
        <v>115</v>
      </c>
      <c r="B154" s="116">
        <f>IFERROR(INDEX('Report - Balance Sheet'!$B$2:$D$100,MATCH(VLOOKUP('Report Actual'!$A154,Lookups!$A$2:$B$100,2,FALSE),'Report - Balance Sheet'!$A$2:$A$100,0),MATCH('Report Actual'!B$132,'Report - Balance Sheet'!$B$1:$D$1,0)),"")</f>
        <v>0</v>
      </c>
      <c r="C154" s="58" t="s">
        <v>36</v>
      </c>
      <c r="D154" s="116">
        <f>IFERROR(INDEX('Report - Balance Sheet'!$B$2:$D$100,MATCH(VLOOKUP('Report Actual'!$A154,Lookups!$A$2:$B$100,2,FALSE),'Report - Balance Sheet'!$A$2:$A$100,0),MATCH('Report Actual'!D$132,'Report - Balance Sheet'!$B$1:$D$1,0)),"")</f>
        <v>0</v>
      </c>
      <c r="E154" s="58" t="s">
        <v>36</v>
      </c>
      <c r="F154" s="116" t="str">
        <f>IFERROR(INDEX('Report - Balance Sheet'!$B$2:$D$100,MATCH(VLOOKUP('Report Actual'!$A154,Lookups!$A$2:$B$100,2,FALSE),'Report - Balance Sheet'!$A$2:$A$100,0),MATCH('Report Actual'!F$132,'Report - Balance Sheet'!$B$1:$D$1,0)),"")</f>
        <v/>
      </c>
    </row>
    <row r="155" spans="1:8" ht="15.75" customHeight="1" outlineLevel="1" collapsed="1" x14ac:dyDescent="0.3">
      <c r="A155" s="34" t="s">
        <v>116</v>
      </c>
      <c r="B155" s="116">
        <f>IFERROR(INDEX('Report - Balance Sheet'!$B$2:$D$100,MATCH(VLOOKUP('Report Actual'!$A155,Lookups!$A$2:$B$100,2,FALSE),'Report - Balance Sheet'!$A$2:$A$100,0),MATCH('Report Actual'!B$132,'Report - Balance Sheet'!$B$1:$D$1,0)),"")</f>
        <v>0</v>
      </c>
      <c r="C155" s="58" t="s">
        <v>36</v>
      </c>
      <c r="D155" s="116">
        <f>IFERROR(INDEX('Report - Balance Sheet'!$B$2:$D$100,MATCH(VLOOKUP('Report Actual'!$A155,Lookups!$A$2:$B$100,2,FALSE),'Report - Balance Sheet'!$A$2:$A$100,0),MATCH('Report Actual'!D$132,'Report - Balance Sheet'!$B$1:$D$1,0)),"")</f>
        <v>0</v>
      </c>
      <c r="E155" s="58" t="s">
        <v>36</v>
      </c>
      <c r="F155" s="116" t="str">
        <f>IFERROR(INDEX('Report - Balance Sheet'!$B$2:$D$100,MATCH(VLOOKUP('Report Actual'!$A155,Lookups!$A$2:$B$100,2,FALSE),'Report - Balance Sheet'!$A$2:$A$100,0),MATCH('Report Actual'!F$132,'Report - Balance Sheet'!$B$1:$D$1,0)),"")</f>
        <v/>
      </c>
    </row>
    <row r="156" spans="1:8" ht="15.75" customHeight="1" outlineLevel="1" collapsed="1" x14ac:dyDescent="0.3">
      <c r="A156" s="34" t="s">
        <v>117</v>
      </c>
      <c r="B156" s="116">
        <f>IFERROR(INDEX('Report - Balance Sheet'!$B$2:$D$100,MATCH(VLOOKUP('Report Actual'!$A156,Lookups!$A$2:$B$100,2,FALSE),'Report - Balance Sheet'!$A$2:$A$100,0),MATCH('Report Actual'!B$132,'Report - Balance Sheet'!$B$1:$D$1,0)),"")</f>
        <v>3129332</v>
      </c>
      <c r="C156" s="58" t="s">
        <v>36</v>
      </c>
      <c r="D156" s="116">
        <f>IFERROR(INDEX('Report - Balance Sheet'!$B$2:$D$100,MATCH(VLOOKUP('Report Actual'!$A156,Lookups!$A$2:$B$100,2,FALSE),'Report - Balance Sheet'!$A$2:$A$100,0),MATCH('Report Actual'!D$132,'Report - Balance Sheet'!$B$1:$D$1,0)),"")</f>
        <v>1685</v>
      </c>
      <c r="E156" s="58" t="s">
        <v>36</v>
      </c>
      <c r="F156" s="116" t="str">
        <f>IFERROR(INDEX('Report - Balance Sheet'!$B$2:$D$100,MATCH(VLOOKUP('Report Actual'!$A156,Lookups!$A$2:$B$100,2,FALSE),'Report - Balance Sheet'!$A$2:$A$100,0),MATCH('Report Actual'!F$132,'Report - Balance Sheet'!$B$1:$D$1,0)),"")</f>
        <v/>
      </c>
    </row>
    <row r="157" spans="1:8" ht="15.75" customHeight="1" outlineLevel="1" collapsed="1" x14ac:dyDescent="0.3">
      <c r="A157" s="34" t="s">
        <v>118</v>
      </c>
      <c r="B157" s="116">
        <f>IFERROR(INDEX('Report - Balance Sheet'!$B$2:$D$100,MATCH(VLOOKUP('Report Actual'!$A157,Lookups!$A$2:$B$100,2,FALSE),'Report - Balance Sheet'!$A$2:$A$100,0),MATCH('Report Actual'!B$132,'Report - Balance Sheet'!$B$1:$D$1,0)),"")</f>
        <v>0</v>
      </c>
      <c r="C157" s="58" t="s">
        <v>36</v>
      </c>
      <c r="D157" s="116">
        <f>IFERROR(INDEX('Report - Balance Sheet'!$B$2:$D$100,MATCH(VLOOKUP('Report Actual'!$A157,Lookups!$A$2:$B$100,2,FALSE),'Report - Balance Sheet'!$A$2:$A$100,0),MATCH('Report Actual'!D$132,'Report - Balance Sheet'!$B$1:$D$1,0)),"")</f>
        <v>0</v>
      </c>
      <c r="E157" s="58" t="s">
        <v>36</v>
      </c>
      <c r="F157" s="116" t="str">
        <f>IFERROR(INDEX('Report - Balance Sheet'!$B$2:$D$100,MATCH(VLOOKUP('Report Actual'!$A157,Lookups!$A$2:$B$100,2,FALSE),'Report - Balance Sheet'!$A$2:$A$100,0),MATCH('Report Actual'!F$132,'Report - Balance Sheet'!$B$1:$D$1,0)),"")</f>
        <v/>
      </c>
      <c r="G157" s="59"/>
      <c r="H157" s="59"/>
    </row>
    <row r="158" spans="1:8" ht="15.75" customHeight="1" outlineLevel="1" collapsed="1" x14ac:dyDescent="0.3">
      <c r="A158" s="34" t="s">
        <v>119</v>
      </c>
      <c r="B158" s="116">
        <f>IFERROR(INDEX('Report - Balance Sheet'!$B$2:$D$100,MATCH(VLOOKUP('Report Actual'!$A158,Lookups!$A$2:$B$100,2,FALSE),'Report - Balance Sheet'!$A$2:$A$100,0),MATCH('Report Actual'!B$132,'Report - Balance Sheet'!$B$1:$D$1,0)),"")</f>
        <v>0</v>
      </c>
      <c r="C158" s="36" t="s">
        <v>36</v>
      </c>
      <c r="D158" s="116">
        <f>IFERROR(INDEX('Report - Balance Sheet'!$B$2:$D$100,MATCH(VLOOKUP('Report Actual'!$A158,Lookups!$A$2:$B$100,2,FALSE),'Report - Balance Sheet'!$A$2:$A$100,0),MATCH('Report Actual'!D$132,'Report - Balance Sheet'!$B$1:$D$1,0)),"")</f>
        <v>0</v>
      </c>
      <c r="E158" s="36" t="s">
        <v>36</v>
      </c>
      <c r="F158" s="116" t="str">
        <f>IFERROR(INDEX('Report - Balance Sheet'!$B$2:$D$100,MATCH(VLOOKUP('Report Actual'!$A158,Lookups!$A$2:$B$100,2,FALSE),'Report - Balance Sheet'!$A$2:$A$100,0),MATCH('Report Actual'!F$132,'Report - Balance Sheet'!$B$1:$D$1,0)),"")</f>
        <v/>
      </c>
    </row>
    <row r="159" spans="1:8" ht="15.75" customHeight="1" outlineLevel="1" collapsed="1" x14ac:dyDescent="0.3">
      <c r="A159" s="34" t="s">
        <v>120</v>
      </c>
      <c r="B159" s="116">
        <f>IFERROR(INDEX('Report - Balance Sheet'!$B$2:$D$100,MATCH(VLOOKUP('Report Actual'!$A159,Lookups!$A$2:$B$100,2,FALSE),'Report - Balance Sheet'!$A$2:$A$100,0),MATCH('Report Actual'!B$132,'Report - Balance Sheet'!$B$1:$D$1,0)),"")</f>
        <v>0</v>
      </c>
      <c r="C159" s="58" t="s">
        <v>36</v>
      </c>
      <c r="D159" s="116">
        <f>IFERROR(INDEX('Report - Balance Sheet'!$B$2:$D$100,MATCH(VLOOKUP('Report Actual'!$A159,Lookups!$A$2:$B$100,2,FALSE),'Report - Balance Sheet'!$A$2:$A$100,0),MATCH('Report Actual'!D$132,'Report - Balance Sheet'!$B$1:$D$1,0)),"")</f>
        <v>0</v>
      </c>
      <c r="E159" s="58" t="s">
        <v>36</v>
      </c>
      <c r="F159" s="116" t="str">
        <f>IFERROR(INDEX('Report - Balance Sheet'!$B$2:$D$100,MATCH(VLOOKUP('Report Actual'!$A159,Lookups!$A$2:$B$100,2,FALSE),'Report - Balance Sheet'!$A$2:$A$100,0),MATCH('Report Actual'!F$132,'Report - Balance Sheet'!$B$1:$D$1,0)),"")</f>
        <v/>
      </c>
      <c r="G159" s="59"/>
      <c r="H159" s="59"/>
    </row>
    <row r="160" spans="1:8" ht="15.75" customHeight="1" outlineLevel="1" collapsed="1" x14ac:dyDescent="0.3">
      <c r="A160" s="34" t="s">
        <v>121</v>
      </c>
      <c r="B160" s="116">
        <f>IFERROR(INDEX('Report - Balance Sheet'!$B$2:$D$100,MATCH(VLOOKUP('Report Actual'!$A160,Lookups!$A$2:$B$100,2,FALSE),'Report - Balance Sheet'!$A$2:$A$100,0),MATCH('Report Actual'!B$132,'Report - Balance Sheet'!$B$1:$D$1,0)),"")</f>
        <v>0</v>
      </c>
      <c r="C160" s="58" t="s">
        <v>36</v>
      </c>
      <c r="D160" s="116">
        <f>IFERROR(INDEX('Report - Balance Sheet'!$B$2:$D$100,MATCH(VLOOKUP('Report Actual'!$A160,Lookups!$A$2:$B$100,2,FALSE),'Report - Balance Sheet'!$A$2:$A$100,0),MATCH('Report Actual'!D$132,'Report - Balance Sheet'!$B$1:$D$1,0)),"")</f>
        <v>0</v>
      </c>
      <c r="E160" s="58" t="s">
        <v>36</v>
      </c>
      <c r="F160" s="116" t="str">
        <f>IFERROR(INDEX('Report - Balance Sheet'!$B$2:$D$100,MATCH(VLOOKUP('Report Actual'!$A160,Lookups!$A$2:$B$100,2,FALSE),'Report - Balance Sheet'!$A$2:$A$100,0),MATCH('Report Actual'!F$132,'Report - Balance Sheet'!$B$1:$D$1,0)),"")</f>
        <v/>
      </c>
      <c r="G160" s="59"/>
      <c r="H160" s="59"/>
    </row>
    <row r="161" spans="1:8" ht="15.75" customHeight="1" outlineLevel="1" collapsed="1" x14ac:dyDescent="0.3">
      <c r="A161" s="34" t="s">
        <v>122</v>
      </c>
      <c r="B161" s="116">
        <f>IFERROR(INDEX('Report - Balance Sheet'!$B$2:$D$100,MATCH(VLOOKUP('Report Actual'!$A161,Lookups!$A$2:$B$100,2,FALSE),'Report - Balance Sheet'!$A$2:$A$100,0),MATCH('Report Actual'!B$132,'Report - Balance Sheet'!$B$1:$D$1,0)),"")</f>
        <v>0</v>
      </c>
      <c r="C161" s="58" t="s">
        <v>36</v>
      </c>
      <c r="D161" s="116">
        <f>IFERROR(INDEX('Report - Balance Sheet'!$B$2:$D$100,MATCH(VLOOKUP('Report Actual'!$A161,Lookups!$A$2:$B$100,2,FALSE),'Report - Balance Sheet'!$A$2:$A$100,0),MATCH('Report Actual'!D$132,'Report - Balance Sheet'!$B$1:$D$1,0)),"")</f>
        <v>0</v>
      </c>
      <c r="E161" s="58" t="s">
        <v>36</v>
      </c>
      <c r="F161" s="116" t="str">
        <f>IFERROR(INDEX('Report - Balance Sheet'!$B$2:$D$100,MATCH(VLOOKUP('Report Actual'!$A161,Lookups!$A$2:$B$100,2,FALSE),'Report - Balance Sheet'!$A$2:$A$100,0),MATCH('Report Actual'!F$132,'Report - Balance Sheet'!$B$1:$D$1,0)),"")</f>
        <v/>
      </c>
      <c r="G161" s="59"/>
      <c r="H161" s="59"/>
    </row>
    <row r="162" spans="1:8" ht="15.75" customHeight="1" outlineLevel="1" collapsed="1" x14ac:dyDescent="0.3">
      <c r="A162" s="34" t="s">
        <v>123</v>
      </c>
      <c r="B162" s="116">
        <f>IFERROR(INDEX('Report - Balance Sheet'!$B$2:$D$100,MATCH(VLOOKUP('Report Actual'!$A162,Lookups!$A$2:$B$100,2,FALSE),'Report - Balance Sheet'!$A$2:$A$100,0),MATCH('Report Actual'!B$132,'Report - Balance Sheet'!$B$1:$D$1,0)),"")</f>
        <v>0</v>
      </c>
      <c r="C162" s="58" t="s">
        <v>36</v>
      </c>
      <c r="D162" s="116">
        <f>IFERROR(INDEX('Report - Balance Sheet'!$B$2:$D$100,MATCH(VLOOKUP('Report Actual'!$A162,Lookups!$A$2:$B$100,2,FALSE),'Report - Balance Sheet'!$A$2:$A$100,0),MATCH('Report Actual'!D$132,'Report - Balance Sheet'!$B$1:$D$1,0)),"")</f>
        <v>0</v>
      </c>
      <c r="E162" s="58" t="s">
        <v>36</v>
      </c>
      <c r="F162" s="116" t="str">
        <f>IFERROR(INDEX('Report - Balance Sheet'!$B$2:$D$100,MATCH(VLOOKUP('Report Actual'!$A162,Lookups!$A$2:$B$100,2,FALSE),'Report - Balance Sheet'!$A$2:$A$100,0),MATCH('Report Actual'!F$132,'Report - Balance Sheet'!$B$1:$D$1,0)),"")</f>
        <v/>
      </c>
      <c r="G162" s="59"/>
      <c r="H162" s="59"/>
    </row>
    <row r="163" spans="1:8" ht="15.75" customHeight="1" outlineLevel="1" collapsed="1" x14ac:dyDescent="0.3">
      <c r="A163" s="34" t="s">
        <v>124</v>
      </c>
      <c r="B163" s="116">
        <f>IFERROR(INDEX('Report - Balance Sheet'!$B$2:$D$100,MATCH(VLOOKUP('Report Actual'!$A163,Lookups!$A$2:$B$100,2,FALSE),'Report - Balance Sheet'!$A$2:$A$100,0),MATCH('Report Actual'!B$132,'Report - Balance Sheet'!$B$1:$D$1,0)),"")</f>
        <v>0</v>
      </c>
      <c r="C163" s="36" t="s">
        <v>36</v>
      </c>
      <c r="D163" s="116">
        <f>IFERROR(INDEX('Report - Balance Sheet'!$B$2:$D$100,MATCH(VLOOKUP('Report Actual'!$A163,Lookups!$A$2:$B$100,2,FALSE),'Report - Balance Sheet'!$A$2:$A$100,0),MATCH('Report Actual'!D$132,'Report - Balance Sheet'!$B$1:$D$1,0)),"")</f>
        <v>0</v>
      </c>
      <c r="E163" s="36" t="s">
        <v>36</v>
      </c>
      <c r="F163" s="116" t="str">
        <f>IFERROR(INDEX('Report - Balance Sheet'!$B$2:$D$100,MATCH(VLOOKUP('Report Actual'!$A163,Lookups!$A$2:$B$100,2,FALSE),'Report - Balance Sheet'!$A$2:$A$100,0),MATCH('Report Actual'!F$132,'Report - Balance Sheet'!$B$1:$D$1,0)),"")</f>
        <v/>
      </c>
    </row>
    <row r="164" spans="1:8" ht="15.75" customHeight="1" outlineLevel="1" collapsed="1" x14ac:dyDescent="0.3">
      <c r="A164" s="34" t="s">
        <v>125</v>
      </c>
      <c r="B164" s="116">
        <f>IFERROR(INDEX('Report - Balance Sheet'!$B$2:$D$100,MATCH(VLOOKUP('Report Actual'!$A164,Lookups!$A$2:$B$100,2,FALSE),'Report - Balance Sheet'!$A$2:$A$100,0),MATCH('Report Actual'!B$132,'Report - Balance Sheet'!$B$1:$D$1,0)),"")</f>
        <v>82484</v>
      </c>
      <c r="C164" s="58" t="s">
        <v>36</v>
      </c>
      <c r="D164" s="116">
        <f>IFERROR(INDEX('Report - Balance Sheet'!$B$2:$D$100,MATCH(VLOOKUP('Report Actual'!$A164,Lookups!$A$2:$B$100,2,FALSE),'Report - Balance Sheet'!$A$2:$A$100,0),MATCH('Report Actual'!D$132,'Report - Balance Sheet'!$B$1:$D$1,0)),"")</f>
        <v>37036</v>
      </c>
      <c r="E164" s="58" t="s">
        <v>36</v>
      </c>
      <c r="F164" s="116" t="str">
        <f>IFERROR(INDEX('Report - Balance Sheet'!$B$2:$D$100,MATCH(VLOOKUP('Report Actual'!$A164,Lookups!$A$2:$B$100,2,FALSE),'Report - Balance Sheet'!$A$2:$A$100,0),MATCH('Report Actual'!F$132,'Report - Balance Sheet'!$B$1:$D$1,0)),"")</f>
        <v/>
      </c>
      <c r="G164" s="59"/>
      <c r="H164" s="59"/>
    </row>
    <row r="165" spans="1:8" ht="15.75" customHeight="1" outlineLevel="1" collapsed="1" x14ac:dyDescent="0.3">
      <c r="A165" s="34" t="s">
        <v>126</v>
      </c>
      <c r="B165" s="116">
        <f>IFERROR(INDEX('Report - Balance Sheet'!$B$2:$D$100,MATCH(VLOOKUP('Report Actual'!$A165,Lookups!$A$2:$B$100,2,FALSE),'Report - Balance Sheet'!$A$2:$A$100,0),MATCH('Report Actual'!B$132,'Report - Balance Sheet'!$B$1:$D$1,0)),"")</f>
        <v>0</v>
      </c>
      <c r="C165" s="58" t="s">
        <v>36</v>
      </c>
      <c r="D165" s="116">
        <f>IFERROR(INDEX('Report - Balance Sheet'!$B$2:$D$100,MATCH(VLOOKUP('Report Actual'!$A165,Lookups!$A$2:$B$100,2,FALSE),'Report - Balance Sheet'!$A$2:$A$100,0),MATCH('Report Actual'!D$132,'Report - Balance Sheet'!$B$1:$D$1,0)),"")</f>
        <v>0</v>
      </c>
      <c r="E165" s="58" t="s">
        <v>36</v>
      </c>
      <c r="F165" s="116" t="str">
        <f>IFERROR(INDEX('Report - Balance Sheet'!$B$2:$D$100,MATCH(VLOOKUP('Report Actual'!$A165,Lookups!$A$2:$B$100,2,FALSE),'Report - Balance Sheet'!$A$2:$A$100,0),MATCH('Report Actual'!F$132,'Report - Balance Sheet'!$B$1:$D$1,0)),"")</f>
        <v/>
      </c>
      <c r="G165" s="59"/>
      <c r="H165" s="59"/>
    </row>
    <row r="166" spans="1:8" ht="15.75" customHeight="1" outlineLevel="1" collapsed="1" x14ac:dyDescent="0.3">
      <c r="A166" s="34" t="s">
        <v>127</v>
      </c>
      <c r="B166" s="116">
        <f>IFERROR(INDEX('Report - Balance Sheet'!$B$2:$D$100,MATCH(VLOOKUP('Report Actual'!$A166,Lookups!$A$2:$B$100,2,FALSE),'Report - Balance Sheet'!$A$2:$A$100,0),MATCH('Report Actual'!B$132,'Report - Balance Sheet'!$B$1:$D$1,0)),"")</f>
        <v>0</v>
      </c>
      <c r="C166" s="58" t="s">
        <v>36</v>
      </c>
      <c r="D166" s="116">
        <f>IFERROR(INDEX('Report - Balance Sheet'!$B$2:$D$100,MATCH(VLOOKUP('Report Actual'!$A166,Lookups!$A$2:$B$100,2,FALSE),'Report - Balance Sheet'!$A$2:$A$100,0),MATCH('Report Actual'!D$132,'Report - Balance Sheet'!$B$1:$D$1,0)),"")</f>
        <v>0</v>
      </c>
      <c r="E166" s="58" t="s">
        <v>36</v>
      </c>
      <c r="F166" s="116" t="str">
        <f>IFERROR(INDEX('Report - Balance Sheet'!$B$2:$D$100,MATCH(VLOOKUP('Report Actual'!$A166,Lookups!$A$2:$B$100,2,FALSE),'Report - Balance Sheet'!$A$2:$A$100,0),MATCH('Report Actual'!F$132,'Report - Balance Sheet'!$B$1:$D$1,0)),"")</f>
        <v/>
      </c>
      <c r="G166" s="59"/>
      <c r="H166" s="59"/>
    </row>
    <row r="167" spans="1:8" ht="15.75" customHeight="1" outlineLevel="1" collapsed="1" x14ac:dyDescent="0.3">
      <c r="A167" s="34" t="s">
        <v>128</v>
      </c>
      <c r="B167" s="116">
        <f>IFERROR(INDEX('Report - Balance Sheet'!$B$2:$D$100,MATCH(VLOOKUP('Report Actual'!$A167,Lookups!$A$2:$B$100,2,FALSE),'Report - Balance Sheet'!$A$2:$A$100,0),MATCH('Report Actual'!B$132,'Report - Balance Sheet'!$B$1:$D$1,0)),"")</f>
        <v>0</v>
      </c>
      <c r="C167" s="58" t="s">
        <v>36</v>
      </c>
      <c r="D167" s="116">
        <f>IFERROR(INDEX('Report - Balance Sheet'!$B$2:$D$100,MATCH(VLOOKUP('Report Actual'!$A167,Lookups!$A$2:$B$100,2,FALSE),'Report - Balance Sheet'!$A$2:$A$100,0),MATCH('Report Actual'!D$132,'Report - Balance Sheet'!$B$1:$D$1,0)),"")</f>
        <v>0</v>
      </c>
      <c r="E167" s="58" t="s">
        <v>36</v>
      </c>
      <c r="F167" s="116" t="str">
        <f>IFERROR(INDEX('Report - Balance Sheet'!$B$2:$D$100,MATCH(VLOOKUP('Report Actual'!$A167,Lookups!$A$2:$B$100,2,FALSE),'Report - Balance Sheet'!$A$2:$A$100,0),MATCH('Report Actual'!F$132,'Report - Balance Sheet'!$B$1:$D$1,0)),"")</f>
        <v/>
      </c>
      <c r="G167" s="59"/>
      <c r="H167" s="59"/>
    </row>
    <row r="168" spans="1:8" s="16" customFormat="1" ht="15.75" customHeight="1" outlineLevel="1" collapsed="1" x14ac:dyDescent="0.3">
      <c r="A168" s="65" t="s">
        <v>129</v>
      </c>
      <c r="B168" s="67">
        <f>IF(SUM(B151:B167)=0,"",SUM(B151:B167))</f>
        <v>3211816</v>
      </c>
      <c r="C168" s="66" t="s">
        <v>36</v>
      </c>
      <c r="D168" s="67">
        <f>IF(SUM(D151:D167)=0,"",SUM(D151:D167))</f>
        <v>38721</v>
      </c>
      <c r="E168" s="66" t="s">
        <v>36</v>
      </c>
      <c r="F168" s="108" t="str">
        <f>IF(F132="","",SUM(F151:F167))</f>
        <v/>
      </c>
      <c r="G168" s="67"/>
      <c r="H168" s="68"/>
    </row>
    <row r="169" spans="1:8" s="16" customFormat="1" ht="15.75" customHeight="1" outlineLevel="1" collapsed="1" x14ac:dyDescent="0.3">
      <c r="A169" s="75" t="s">
        <v>130</v>
      </c>
      <c r="B169" s="67">
        <f>IFERROR(B168+B148,"")</f>
        <v>3642249</v>
      </c>
      <c r="C169" s="66" t="s">
        <v>36</v>
      </c>
      <c r="D169" s="67" t="str">
        <f>IFERROR(D168+D148,"")</f>
        <v/>
      </c>
      <c r="E169" s="66" t="s">
        <v>36</v>
      </c>
      <c r="F169" s="108" t="str">
        <f>IFERROR(F168+F148,"")</f>
        <v/>
      </c>
      <c r="G169" s="67"/>
      <c r="H169" s="68"/>
    </row>
    <row r="170" spans="1:8" ht="15.75" customHeight="1" outlineLevel="1" collapsed="1" x14ac:dyDescent="0.3">
      <c r="B170" s="16"/>
      <c r="D170" s="16"/>
      <c r="F170" s="109"/>
    </row>
    <row r="171" spans="1:8" ht="15.75" customHeight="1" outlineLevel="1" collapsed="1" x14ac:dyDescent="0.3">
      <c r="A171" s="13" t="s">
        <v>131</v>
      </c>
      <c r="B171" s="16"/>
      <c r="D171" s="16"/>
      <c r="F171" s="109"/>
    </row>
    <row r="172" spans="1:8" ht="15.75" customHeight="1" outlineLevel="1" collapsed="1" x14ac:dyDescent="0.3">
      <c r="A172" s="34" t="s">
        <v>132</v>
      </c>
      <c r="B172" s="116">
        <f>IFERROR(INDEX('Report - Balance Sheet'!$B$2:$D$100,MATCH(VLOOKUP('Report Actual'!$A172,Lookups!$A$2:$B$100,2,FALSE),'Report - Balance Sheet'!$A$2:$A$100,0),MATCH('Report Actual'!B$132,'Report - Balance Sheet'!$B$1:$D$1,0)),"")</f>
        <v>100</v>
      </c>
      <c r="C172" s="58" t="s">
        <v>36</v>
      </c>
      <c r="D172" s="116">
        <f>IFERROR(INDEX('Report - Balance Sheet'!$B$2:$D$100,MATCH(VLOOKUP('Report Actual'!$A172,Lookups!$A$2:$B$100,2,FALSE),'Report - Balance Sheet'!$A$2:$A$100,0),MATCH('Report Actual'!D$132,'Report - Balance Sheet'!$B$1:$D$1,0)),"")</f>
        <v>100</v>
      </c>
      <c r="E172" s="58" t="s">
        <v>36</v>
      </c>
      <c r="F172" s="116" t="str">
        <f>IFERROR(INDEX('Report - Balance Sheet'!$B$2:$D$100,MATCH(VLOOKUP('Report Actual'!$A172,Lookups!$A$2:$B$100,2,FALSE),'Report - Balance Sheet'!$A$2:$A$100,0),MATCH('Report Actual'!F$132,'Report - Balance Sheet'!$B$1:$D$1,0)),"")</f>
        <v/>
      </c>
      <c r="G172" s="59"/>
      <c r="H172" s="59"/>
    </row>
    <row r="173" spans="1:8" ht="15.75" customHeight="1" outlineLevel="1" collapsed="1" x14ac:dyDescent="0.3">
      <c r="A173" s="34" t="s">
        <v>133</v>
      </c>
      <c r="B173" s="116">
        <f>IFERROR(INDEX('Report - Balance Sheet'!$B$2:$D$100,MATCH(VLOOKUP('Report Actual'!$A173,Lookups!$A$2:$B$100,2,FALSE),'Report - Balance Sheet'!$A$2:$A$100,0),MATCH('Report Actual'!B$132,'Report - Balance Sheet'!$B$1:$D$1,0)),"")</f>
        <v>0</v>
      </c>
      <c r="C173" s="36" t="s">
        <v>36</v>
      </c>
      <c r="D173" s="116">
        <f>IFERROR(INDEX('Report - Balance Sheet'!$B$2:$D$100,MATCH(VLOOKUP('Report Actual'!$A173,Lookups!$A$2:$B$100,2,FALSE),'Report - Balance Sheet'!$A$2:$A$100,0),MATCH('Report Actual'!D$132,'Report - Balance Sheet'!$B$1:$D$1,0)),"")</f>
        <v>0</v>
      </c>
      <c r="E173" s="36" t="s">
        <v>36</v>
      </c>
      <c r="F173" s="116" t="str">
        <f>IFERROR(INDEX('Report - Balance Sheet'!$B$2:$D$100,MATCH(VLOOKUP('Report Actual'!$A173,Lookups!$A$2:$B$100,2,FALSE),'Report - Balance Sheet'!$A$2:$A$100,0),MATCH('Report Actual'!F$132,'Report - Balance Sheet'!$B$1:$D$1,0)),"")</f>
        <v/>
      </c>
    </row>
    <row r="174" spans="1:8" ht="15.75" customHeight="1" outlineLevel="1" collapsed="1" x14ac:dyDescent="0.3">
      <c r="A174" s="34" t="s">
        <v>134</v>
      </c>
      <c r="B174" s="116">
        <f>IFERROR(INDEX('Report - Balance Sheet'!$B$2:$D$100,MATCH(VLOOKUP('Report Actual'!$A174,Lookups!$A$2:$B$100,2,FALSE),'Report - Balance Sheet'!$A$2:$A$100,0),MATCH('Report Actual'!B$132,'Report - Balance Sheet'!$B$1:$D$1,0)),"")</f>
        <v>0</v>
      </c>
      <c r="C174" s="58" t="s">
        <v>36</v>
      </c>
      <c r="D174" s="116">
        <f>IFERROR(INDEX('Report - Balance Sheet'!$B$2:$D$100,MATCH(VLOOKUP('Report Actual'!$A174,Lookups!$A$2:$B$100,2,FALSE),'Report - Balance Sheet'!$A$2:$A$100,0),MATCH('Report Actual'!D$132,'Report - Balance Sheet'!$B$1:$D$1,0)),"")</f>
        <v>0</v>
      </c>
      <c r="E174" s="58" t="s">
        <v>36</v>
      </c>
      <c r="F174" s="116" t="str">
        <f>IFERROR(INDEX('Report - Balance Sheet'!$B$2:$D$100,MATCH(VLOOKUP('Report Actual'!$A174,Lookups!$A$2:$B$100,2,FALSE),'Report - Balance Sheet'!$A$2:$A$100,0),MATCH('Report Actual'!F$132,'Report - Balance Sheet'!$B$1:$D$1,0)),"")</f>
        <v/>
      </c>
      <c r="G174" s="59"/>
      <c r="H174" s="59"/>
    </row>
    <row r="175" spans="1:8" ht="15.75" customHeight="1" outlineLevel="1" collapsed="1" x14ac:dyDescent="0.3">
      <c r="A175" s="34" t="s">
        <v>135</v>
      </c>
      <c r="B175" s="116">
        <f>IFERROR(INDEX('Report - Balance Sheet'!$B$2:$D$100,MATCH(VLOOKUP('Report Actual'!$A175,Lookups!$A$2:$B$100,2,FALSE),'Report - Balance Sheet'!$A$2:$A$100,0),MATCH('Report Actual'!B$132,'Report - Balance Sheet'!$B$1:$D$1,0)),"")</f>
        <v>1111613</v>
      </c>
      <c r="C175" s="58" t="s">
        <v>36</v>
      </c>
      <c r="D175" s="116">
        <f>IFERROR(INDEX('Report - Balance Sheet'!$B$2:$D$100,MATCH(VLOOKUP('Report Actual'!$A175,Lookups!$A$2:$B$100,2,FALSE),'Report - Balance Sheet'!$A$2:$A$100,0),MATCH('Report Actual'!D$132,'Report - Balance Sheet'!$B$1:$D$1,0)),"")</f>
        <v>-244314</v>
      </c>
      <c r="E175" s="58" t="s">
        <v>36</v>
      </c>
      <c r="F175" s="116" t="str">
        <f>IFERROR(INDEX('Report - Balance Sheet'!$B$2:$D$100,MATCH(VLOOKUP('Report Actual'!$A175,Lookups!$A$2:$B$100,2,FALSE),'Report - Balance Sheet'!$A$2:$A$100,0),MATCH('Report Actual'!F$132,'Report - Balance Sheet'!$B$1:$D$1,0)),"")</f>
        <v/>
      </c>
      <c r="G175" s="59"/>
      <c r="H175" s="59"/>
    </row>
    <row r="176" spans="1:8" ht="15.75" customHeight="1" outlineLevel="1" collapsed="1" x14ac:dyDescent="0.3">
      <c r="A176" s="34" t="s">
        <v>136</v>
      </c>
      <c r="B176" s="116">
        <f>IFERROR(INDEX('Report - Balance Sheet'!$B$2:$D$100,MATCH(VLOOKUP('Report Actual'!$A176,Lookups!$A$2:$B$100,2,FALSE),'Report - Balance Sheet'!$A$2:$A$100,0),MATCH('Report Actual'!B$132,'Report - Balance Sheet'!$B$1:$D$1,0)),"")</f>
        <v>0</v>
      </c>
      <c r="C176" s="58" t="s">
        <v>36</v>
      </c>
      <c r="D176" s="116">
        <f>IFERROR(INDEX('Report - Balance Sheet'!$B$2:$D$100,MATCH(VLOOKUP('Report Actual'!$A176,Lookups!$A$2:$B$100,2,FALSE),'Report - Balance Sheet'!$A$2:$A$100,0),MATCH('Report Actual'!D$132,'Report - Balance Sheet'!$B$1:$D$1,0)),"")</f>
        <v>0</v>
      </c>
      <c r="E176" s="58" t="s">
        <v>36</v>
      </c>
      <c r="F176" s="116" t="str">
        <f>IFERROR(INDEX('Report - Balance Sheet'!$B$2:$D$100,MATCH(VLOOKUP('Report Actual'!$A176,Lookups!$A$2:$B$100,2,FALSE),'Report - Balance Sheet'!$A$2:$A$100,0),MATCH('Report Actual'!F$132,'Report - Balance Sheet'!$B$1:$D$1,0)),"")</f>
        <v/>
      </c>
      <c r="G176" s="59"/>
      <c r="H176" s="59"/>
    </row>
    <row r="177" spans="1:9" ht="15.75" customHeight="1" outlineLevel="1" collapsed="1" x14ac:dyDescent="0.3">
      <c r="A177" s="34" t="s">
        <v>137</v>
      </c>
      <c r="B177" s="116">
        <f>IFERROR(INDEX('Report - Balance Sheet'!$B$2:$D$100,MATCH(VLOOKUP('Report Actual'!$A177,Lookups!$A$2:$B$100,2,FALSE),'Report - Balance Sheet'!$A$2:$A$100,0),MATCH('Report Actual'!B$132,'Report - Balance Sheet'!$B$1:$D$1,0)),"")</f>
        <v>6017943</v>
      </c>
      <c r="C177" s="58" t="s">
        <v>36</v>
      </c>
      <c r="D177" s="116">
        <f>IFERROR(INDEX('Report - Balance Sheet'!$B$2:$D$100,MATCH(VLOOKUP('Report Actual'!$A177,Lookups!$A$2:$B$100,2,FALSE),'Report - Balance Sheet'!$A$2:$A$100,0),MATCH('Report Actual'!D$132,'Report - Balance Sheet'!$B$1:$D$1,0)),"")</f>
        <v>6017943</v>
      </c>
      <c r="E177" s="58" t="s">
        <v>36</v>
      </c>
      <c r="F177" s="116" t="str">
        <f>IFERROR(INDEX('Report - Balance Sheet'!$B$2:$D$100,MATCH(VLOOKUP('Report Actual'!$A177,Lookups!$A$2:$B$100,2,FALSE),'Report - Balance Sheet'!$A$2:$A$100,0),MATCH('Report Actual'!F$132,'Report - Balance Sheet'!$B$1:$D$1,0)),"")</f>
        <v/>
      </c>
      <c r="G177" s="59"/>
      <c r="H177" s="59"/>
    </row>
    <row r="178" spans="1:9" ht="15.75" customHeight="1" outlineLevel="1" collapsed="1" x14ac:dyDescent="0.3">
      <c r="A178" s="34" t="s">
        <v>138</v>
      </c>
      <c r="B178" s="116">
        <f>IFERROR(INDEX('Report - Balance Sheet'!$B$2:$D$100,MATCH(VLOOKUP('Report Actual'!$A178,Lookups!$A$2:$B$100,2,FALSE),'Report - Balance Sheet'!$A$2:$A$100,0),MATCH('Report Actual'!B$132,'Report - Balance Sheet'!$B$1:$D$1,0)),"")</f>
        <v>0</v>
      </c>
      <c r="C178" s="36" t="s">
        <v>36</v>
      </c>
      <c r="D178" s="116">
        <f>IFERROR(INDEX('Report - Balance Sheet'!$B$2:$D$100,MATCH(VLOOKUP('Report Actual'!$A178,Lookups!$A$2:$B$100,2,FALSE),'Report - Balance Sheet'!$A$2:$A$100,0),MATCH('Report Actual'!D$132,'Report - Balance Sheet'!$B$1:$D$1,0)),"")</f>
        <v>0</v>
      </c>
      <c r="E178" s="36" t="s">
        <v>36</v>
      </c>
      <c r="F178" s="116" t="str">
        <f>IFERROR(INDEX('Report - Balance Sheet'!$B$2:$D$100,MATCH(VLOOKUP('Report Actual'!$A178,Lookups!$A$2:$B$100,2,FALSE),'Report - Balance Sheet'!$A$2:$A$100,0),MATCH('Report Actual'!F$132,'Report - Balance Sheet'!$B$1:$D$1,0)),"")</f>
        <v/>
      </c>
      <c r="I178" s="2" t="s">
        <v>139</v>
      </c>
    </row>
    <row r="179" spans="1:9" ht="15.75" customHeight="1" outlineLevel="1" collapsed="1" x14ac:dyDescent="0.3">
      <c r="A179" s="34" t="s">
        <v>140</v>
      </c>
      <c r="B179" s="116">
        <f>IFERROR(INDEX('Report - Balance Sheet'!$B$2:$D$100,MATCH(VLOOKUP('Report Actual'!$A179,Lookups!$A$2:$B$100,2,FALSE),'Report - Balance Sheet'!$A$2:$A$100,0),MATCH('Report Actual'!B$132,'Report - Balance Sheet'!$B$1:$D$1,0)),"")</f>
        <v>0</v>
      </c>
      <c r="C179" s="58" t="s">
        <v>36</v>
      </c>
      <c r="D179" s="116">
        <f>IFERROR(INDEX('Report - Balance Sheet'!$B$2:$D$100,MATCH(VLOOKUP('Report Actual'!$A179,Lookups!$A$2:$B$100,2,FALSE),'Report - Balance Sheet'!$A$2:$A$100,0),MATCH('Report Actual'!D$132,'Report - Balance Sheet'!$B$1:$D$1,0)),"")</f>
        <v>0</v>
      </c>
      <c r="E179" s="58" t="s">
        <v>36</v>
      </c>
      <c r="F179" s="116" t="str">
        <f>IFERROR(INDEX('Report - Balance Sheet'!$B$2:$D$100,MATCH(VLOOKUP('Report Actual'!$A179,Lookups!$A$2:$B$100,2,FALSE),'Report - Balance Sheet'!$A$2:$A$100,0),MATCH('Report Actual'!F$132,'Report - Balance Sheet'!$B$1:$D$1,0)),"")</f>
        <v/>
      </c>
      <c r="G179" s="59"/>
      <c r="H179" s="59"/>
    </row>
    <row r="180" spans="1:9" s="16" customFormat="1" ht="15.75" customHeight="1" outlineLevel="1" collapsed="1" x14ac:dyDescent="0.3">
      <c r="A180" s="65" t="s">
        <v>141</v>
      </c>
      <c r="B180" s="67">
        <f>IF(SUM(B172:B179)=0,"",SUM(B172:B179))</f>
        <v>7129656</v>
      </c>
      <c r="C180" s="66" t="s">
        <v>36</v>
      </c>
      <c r="D180" s="67">
        <f>IF(SUM(D172:D179)=0,"",SUM(D172:D179))</f>
        <v>5773729</v>
      </c>
      <c r="E180" s="66" t="s">
        <v>36</v>
      </c>
      <c r="F180" s="108" t="str">
        <f>IF(F132="","",SUM(F172:F179))</f>
        <v/>
      </c>
      <c r="G180" s="67"/>
      <c r="H180" s="68"/>
    </row>
    <row r="181" spans="1:9" s="16" customFormat="1" ht="15.75" customHeight="1" outlineLevel="1" collapsed="1" x14ac:dyDescent="0.3">
      <c r="A181" s="69" t="s">
        <v>142</v>
      </c>
      <c r="B181" s="71">
        <f>IFERROR(B180+B169,"")</f>
        <v>10771905</v>
      </c>
      <c r="C181" s="70" t="s">
        <v>36</v>
      </c>
      <c r="D181" s="71" t="str">
        <f>IFERROR(D180+D169,"")</f>
        <v/>
      </c>
      <c r="E181" s="70" t="s">
        <v>36</v>
      </c>
      <c r="F181" s="71" t="str">
        <f>IFERROR(F180+F169,"")</f>
        <v/>
      </c>
      <c r="G181" s="71"/>
      <c r="H181" s="55"/>
    </row>
    <row r="183" spans="1:9" ht="15.75" customHeight="1" x14ac:dyDescent="0.3">
      <c r="A183" s="3" t="s">
        <v>143</v>
      </c>
      <c r="B183" s="4"/>
      <c r="C183" s="4"/>
      <c r="D183" s="4"/>
      <c r="E183" s="4"/>
      <c r="F183" s="4"/>
      <c r="G183" s="4"/>
      <c r="H183" s="4"/>
    </row>
    <row r="184" spans="1:9" s="16" customFormat="1" ht="15.75" customHeight="1" outlineLevel="1" collapsed="1" x14ac:dyDescent="0.3">
      <c r="A184" s="40" t="s">
        <v>30</v>
      </c>
      <c r="B184" s="41" t="str">
        <f>B95</f>
        <v>2025-02-28</v>
      </c>
      <c r="C184" s="42"/>
      <c r="D184" s="41" t="str">
        <f>D95</f>
        <v>2024-02-28</v>
      </c>
      <c r="E184" s="42"/>
      <c r="F184" s="41" t="str">
        <f>F95</f>
        <v/>
      </c>
      <c r="G184" s="41"/>
      <c r="H184" s="43"/>
    </row>
    <row r="185" spans="1:9" ht="15.75" customHeight="1" outlineLevel="1" collapsed="1" x14ac:dyDescent="0.3">
      <c r="A185" s="34" t="s">
        <v>144</v>
      </c>
      <c r="B185" s="46">
        <f>IFERROR(INDEX('Report - Income Statement'!$B$2:$D$35,MATCH(VLOOKUP('Report Actual'!$A185,Lookups!$E$2:$F$35,2,FALSE),'Report - Income Statement'!$A$2:$A$35,0),MATCH('Report Actual'!B$184,'Report - Income Statement'!$B$1:$D$1,0)),"")</f>
        <v>25636446</v>
      </c>
      <c r="C185" s="45" t="s">
        <v>36</v>
      </c>
      <c r="D185" s="46">
        <f>IFERROR(INDEX('Report - Income Statement'!$B$2:$D$35,MATCH(VLOOKUP('Report Actual'!$A185,Lookups!$E$2:$F$35,2,FALSE),'Report - Income Statement'!$A$2:$A$35,0),MATCH('Report Actual'!D$184,'Report - Income Statement'!$B$1:$D$1,0)),"")</f>
        <v>3809470</v>
      </c>
      <c r="E185" s="45" t="s">
        <v>36</v>
      </c>
      <c r="F185" s="46" t="str">
        <f>IFERROR(INDEX('Report - Income Statement'!$B$2:$D$35,MATCH(VLOOKUP('Report Actual'!$A185,Lookups!$E$2:$F$35,2,FALSE),'Report - Income Statement'!$A$2:$A$35,0),MATCH('Report Actual'!F$184,'Report - Income Statement'!$B$1:$D$1,0)),"")</f>
        <v/>
      </c>
      <c r="G185" s="46"/>
      <c r="H185" s="59"/>
    </row>
    <row r="186" spans="1:9" ht="15.75" customHeight="1" outlineLevel="1" collapsed="1" x14ac:dyDescent="0.3">
      <c r="A186" s="34" t="s">
        <v>145</v>
      </c>
      <c r="B186" s="46">
        <f>IFERROR(INDEX('Report - Income Statement'!$B$2:$D$35,MATCH(VLOOKUP('Report Actual'!$A186,Lookups!$E$2:$F$35,2,FALSE),'Report - Income Statement'!$A$2:$A$35,0),MATCH('Report Actual'!B$184,'Report - Income Statement'!$B$1:$D$1,0)),"")</f>
        <v>-20164488</v>
      </c>
      <c r="C186" s="45" t="s">
        <v>36</v>
      </c>
      <c r="D186" s="46">
        <f>IFERROR(INDEX('Report - Income Statement'!$B$2:$D$35,MATCH(VLOOKUP('Report Actual'!$A186,Lookups!$E$2:$F$35,2,FALSE),'Report - Income Statement'!$A$2:$A$35,0),MATCH('Report Actual'!D$184,'Report - Income Statement'!$B$1:$D$1,0)),"")</f>
        <v>-3408121</v>
      </c>
      <c r="E186" s="45" t="s">
        <v>36</v>
      </c>
      <c r="F186" s="46" t="str">
        <f>IFERROR(INDEX('Report - Income Statement'!$B$2:$D$35,MATCH(VLOOKUP('Report Actual'!$A186,Lookups!$E$2:$F$35,2,FALSE),'Report - Income Statement'!$A$2:$A$35,0),MATCH('Report Actual'!F$184,'Report - Income Statement'!$B$1:$D$1,0)),"")</f>
        <v/>
      </c>
      <c r="G186" s="46"/>
      <c r="H186" s="59"/>
    </row>
    <row r="187" spans="1:9" s="16" customFormat="1" ht="15.75" customHeight="1" outlineLevel="1" collapsed="1" x14ac:dyDescent="0.3">
      <c r="A187" s="75" t="s">
        <v>146</v>
      </c>
      <c r="B187" s="67">
        <f>IFERROR(INDEX('Report - Income Statement'!$B$2:$D$35,MATCH(VLOOKUP('Report Actual'!$A187,Lookups!$E$2:$F$35,2,FALSE),'Report - Income Statement'!$A$2:$A$35,0),MATCH('Report Actual'!B$184,'Report - Income Statement'!$B$1:$D$1,0)),"")</f>
        <v>5471958</v>
      </c>
      <c r="C187" s="66" t="s">
        <v>36</v>
      </c>
      <c r="D187" s="67">
        <f>IFERROR(INDEX('Report - Income Statement'!$B$2:$D$35,MATCH(VLOOKUP('Report Actual'!$A187,Lookups!$E$2:$F$35,2,FALSE),'Report - Income Statement'!$A$2:$A$35,0),MATCH('Report Actual'!D$184,'Report - Income Statement'!$B$1:$D$1,0)),"")</f>
        <v>401349</v>
      </c>
      <c r="E187" s="66" t="s">
        <v>36</v>
      </c>
      <c r="F187" s="67" t="str">
        <f>IFERROR(INDEX('Report - Income Statement'!$B$2:$D$35,MATCH(VLOOKUP('Report Actual'!$A187,Lookups!$E$2:$F$35,2,FALSE),'Report - Income Statement'!$A$2:$A$35,0),MATCH('Report Actual'!F$184,'Report - Income Statement'!$B$1:$D$1,0)),"")</f>
        <v/>
      </c>
      <c r="G187" s="67"/>
      <c r="H187" s="68"/>
    </row>
    <row r="188" spans="1:9" ht="15.75" customHeight="1" outlineLevel="1" collapsed="1" x14ac:dyDescent="0.3">
      <c r="A188" s="34" t="s">
        <v>147</v>
      </c>
      <c r="B188" s="46">
        <f>IFERROR(INDEX('Report - Income Statement'!$B$2:$D$35,MATCH(VLOOKUP('Report Actual'!$A188,Lookups!$E$2:$F$35,2,FALSE),'Report - Income Statement'!$A$2:$A$35,0),MATCH('Report Actual'!B$184,'Report - Income Statement'!$B$1:$D$1,0)),"")</f>
        <v>0</v>
      </c>
      <c r="C188" s="45" t="s">
        <v>36</v>
      </c>
      <c r="D188" s="46">
        <f>IFERROR(INDEX('Report - Income Statement'!$B$2:$D$35,MATCH(VLOOKUP('Report Actual'!$A188,Lookups!$E$2:$F$35,2,FALSE),'Report - Income Statement'!$A$2:$A$35,0),MATCH('Report Actual'!D$184,'Report - Income Statement'!$B$1:$D$1,0)),"")</f>
        <v>0</v>
      </c>
      <c r="E188" s="45" t="s">
        <v>36</v>
      </c>
      <c r="F188" s="46" t="str">
        <f>IFERROR(INDEX('Report - Income Statement'!$B$2:$D$35,MATCH(VLOOKUP('Report Actual'!$A188,Lookups!$E$2:$F$35,2,FALSE),'Report - Income Statement'!$A$2:$A$35,0),MATCH('Report Actual'!F$184,'Report - Income Statement'!$B$1:$D$1,0)),"")</f>
        <v/>
      </c>
      <c r="G188" s="46"/>
      <c r="H188" s="59"/>
    </row>
    <row r="189" spans="1:9" s="16" customFormat="1" ht="15.75" customHeight="1" outlineLevel="1" collapsed="1" x14ac:dyDescent="0.3">
      <c r="A189" s="75" t="s">
        <v>148</v>
      </c>
      <c r="B189" s="67">
        <f>IFERROR(INDEX('Report - Income Statement'!$B$2:$D$35,MATCH(VLOOKUP('Report Actual'!$A189,Lookups!$E$2:$F$35,2,FALSE),'Report - Income Statement'!$A$2:$A$35,0),MATCH('Report Actual'!B$184,'Report - Income Statement'!$B$1:$D$1,0)),"")</f>
        <v>5471958</v>
      </c>
      <c r="C189" s="66" t="s">
        <v>36</v>
      </c>
      <c r="D189" s="67">
        <f>IFERROR(INDEX('Report - Income Statement'!$B$2:$D$35,MATCH(VLOOKUP('Report Actual'!$A189,Lookups!$E$2:$F$35,2,FALSE),'Report - Income Statement'!$A$2:$A$35,0),MATCH('Report Actual'!D$184,'Report - Income Statement'!$B$1:$D$1,0)),"")</f>
        <v>401349</v>
      </c>
      <c r="E189" s="66" t="s">
        <v>36</v>
      </c>
      <c r="F189" s="67" t="str">
        <f>IFERROR(INDEX('Report - Income Statement'!$B$2:$D$35,MATCH(VLOOKUP('Report Actual'!$A189,Lookups!$E$2:$F$35,2,FALSE),'Report - Income Statement'!$A$2:$A$35,0),MATCH('Report Actual'!F$184,'Report - Income Statement'!$B$1:$D$1,0)),"")</f>
        <v/>
      </c>
      <c r="G189" s="67"/>
      <c r="H189" s="68"/>
    </row>
    <row r="190" spans="1:9" s="16" customFormat="1" ht="15.75" customHeight="1" outlineLevel="1" collapsed="1" x14ac:dyDescent="0.3">
      <c r="A190" s="75" t="s">
        <v>149</v>
      </c>
      <c r="B190" s="67">
        <f>IFERROR(INDEX('Report - Income Statement'!$B$2:$D$35,MATCH(VLOOKUP('Report Actual'!$A190,Lookups!$E$2:$F$35,2,FALSE),'Report - Income Statement'!$A$2:$A$35,0),MATCH('Report Actual'!B$184,'Report - Income Statement'!$B$1:$D$1,0)),"")</f>
        <v>-4094056</v>
      </c>
      <c r="C190" s="66" t="s">
        <v>36</v>
      </c>
      <c r="D190" s="67">
        <f>IFERROR(INDEX('Report - Income Statement'!$B$2:$D$35,MATCH(VLOOKUP('Report Actual'!$A190,Lookups!$E$2:$F$35,2,FALSE),'Report - Income Statement'!$A$2:$A$35,0),MATCH('Report Actual'!D$184,'Report - Income Statement'!$B$1:$D$1,0)),"")</f>
        <v>-780226</v>
      </c>
      <c r="E190" s="66" t="s">
        <v>36</v>
      </c>
      <c r="F190" s="67" t="str">
        <f>IFERROR(INDEX('Report - Income Statement'!$B$2:$D$35,MATCH(VLOOKUP('Report Actual'!$A190,Lookups!$E$2:$F$35,2,FALSE),'Report - Income Statement'!$A$2:$A$35,0),MATCH('Report Actual'!F$184,'Report - Income Statement'!$B$1:$D$1,0)),"")</f>
        <v/>
      </c>
      <c r="G190" s="67"/>
      <c r="H190" s="68"/>
    </row>
    <row r="191" spans="1:9" ht="15.75" customHeight="1" outlineLevel="1" collapsed="1" x14ac:dyDescent="0.3">
      <c r="A191" s="34" t="s">
        <v>150</v>
      </c>
      <c r="B191" s="46">
        <f>IFERROR(INDEX('Report - Income Statement'!$B$2:$D$35,MATCH(VLOOKUP('Report Actual'!$A191,Lookups!$E$2:$F$35,2,FALSE),'Report - Income Statement'!$A$2:$A$35,0),MATCH('Report Actual'!B$184,'Report - Income Statement'!$B$1:$D$1,0)),"")</f>
        <v>-2411845</v>
      </c>
      <c r="C191" s="45" t="s">
        <v>36</v>
      </c>
      <c r="D191" s="46">
        <f>IFERROR(INDEX('Report - Income Statement'!$B$2:$D$35,MATCH(VLOOKUP('Report Actual'!$A191,Lookups!$E$2:$F$35,2,FALSE),'Report - Income Statement'!$A$2:$A$35,0),MATCH('Report Actual'!D$184,'Report - Income Statement'!$B$1:$D$1,0)),"")</f>
        <v>-134363</v>
      </c>
      <c r="E191" s="45" t="s">
        <v>36</v>
      </c>
      <c r="F191" s="46" t="str">
        <f>IFERROR(INDEX('Report - Income Statement'!$B$2:$D$35,MATCH(VLOOKUP('Report Actual'!$A191,Lookups!$E$2:$F$35,2,FALSE),'Report - Income Statement'!$A$2:$A$35,0),MATCH('Report Actual'!F$184,'Report - Income Statement'!$B$1:$D$1,0)),"")</f>
        <v/>
      </c>
      <c r="G191" s="46"/>
      <c r="H191" s="59"/>
    </row>
    <row r="192" spans="1:9" ht="15.75" customHeight="1" outlineLevel="1" collapsed="1" x14ac:dyDescent="0.3">
      <c r="A192" s="34" t="s">
        <v>151</v>
      </c>
      <c r="B192" s="46">
        <f>IFERROR(INDEX('Report - Income Statement'!$B$2:$D$35,MATCH(VLOOKUP('Report Actual'!$A192,Lookups!$E$2:$F$35,2,FALSE),'Report - Income Statement'!$A$2:$A$35,0),MATCH('Report Actual'!B$184,'Report - Income Statement'!$B$1:$D$1,0)),"")</f>
        <v>0</v>
      </c>
      <c r="C192" s="45" t="s">
        <v>36</v>
      </c>
      <c r="D192" s="46">
        <f>IFERROR(INDEX('Report - Income Statement'!$B$2:$D$35,MATCH(VLOOKUP('Report Actual'!$A192,Lookups!$E$2:$F$35,2,FALSE),'Report - Income Statement'!$A$2:$A$35,0),MATCH('Report Actual'!D$184,'Report - Income Statement'!$B$1:$D$1,0)),"")</f>
        <v>-196342</v>
      </c>
      <c r="E192" s="45" t="s">
        <v>36</v>
      </c>
      <c r="F192" s="46" t="str">
        <f>IFERROR(INDEX('Report - Income Statement'!$B$2:$D$35,MATCH(VLOOKUP('Report Actual'!$A192,Lookups!$E$2:$F$35,2,FALSE),'Report - Income Statement'!$A$2:$A$35,0),MATCH('Report Actual'!F$184,'Report - Income Statement'!$B$1:$D$1,0)),"")</f>
        <v/>
      </c>
      <c r="G192" s="46"/>
    </row>
    <row r="193" spans="1:8" ht="15.75" customHeight="1" outlineLevel="1" collapsed="1" x14ac:dyDescent="0.3">
      <c r="A193" s="34" t="s">
        <v>152</v>
      </c>
      <c r="B193" s="46">
        <f>IFERROR(INDEX('Report - Income Statement'!$B$2:$D$35,MATCH(VLOOKUP('Report Actual'!$A193,Lookups!$E$2:$F$35,2,FALSE),'Report - Income Statement'!$A$2:$A$35,0),MATCH('Report Actual'!B$184,'Report - Income Statement'!$B$1:$D$1,0)),"")</f>
        <v>0</v>
      </c>
      <c r="C193" s="45" t="s">
        <v>36</v>
      </c>
      <c r="D193" s="46">
        <f>IFERROR(INDEX('Report - Income Statement'!$B$2:$D$35,MATCH(VLOOKUP('Report Actual'!$A193,Lookups!$E$2:$F$35,2,FALSE),'Report - Income Statement'!$A$2:$A$35,0),MATCH('Report Actual'!D$184,'Report - Income Statement'!$B$1:$D$1,0)),"")</f>
        <v>0</v>
      </c>
      <c r="E193" s="45" t="s">
        <v>36</v>
      </c>
      <c r="F193" s="46" t="str">
        <f>IFERROR(INDEX('Report - Income Statement'!$B$2:$D$35,MATCH(VLOOKUP('Report Actual'!$A193,Lookups!$E$2:$F$35,2,FALSE),'Report - Income Statement'!$A$2:$A$35,0),MATCH('Report Actual'!F$184,'Report - Income Statement'!$B$1:$D$1,0)),"")</f>
        <v/>
      </c>
      <c r="G193" s="46"/>
      <c r="H193" s="59"/>
    </row>
    <row r="194" spans="1:8" ht="15.75" customHeight="1" outlineLevel="1" collapsed="1" x14ac:dyDescent="0.3">
      <c r="A194" s="34" t="s">
        <v>153</v>
      </c>
      <c r="B194" s="46">
        <f>IFERROR(INDEX('Report - Income Statement'!$B$2:$D$35,MATCH(VLOOKUP('Report Actual'!$A194,Lookups!$E$2:$F$35,2,FALSE),'Report - Income Statement'!$A$2:$A$35,0),MATCH('Report Actual'!B$184,'Report - Income Statement'!$B$1:$D$1,0)),"")</f>
        <v>-1274780</v>
      </c>
      <c r="C194" s="45" t="s">
        <v>36</v>
      </c>
      <c r="D194" s="46">
        <f>IFERROR(INDEX('Report - Income Statement'!$B$2:$D$35,MATCH(VLOOKUP('Report Actual'!$A194,Lookups!$E$2:$F$35,2,FALSE),'Report - Income Statement'!$A$2:$A$35,0),MATCH('Report Actual'!D$184,'Report - Income Statement'!$B$1:$D$1,0)),"")</f>
        <v>-398307</v>
      </c>
      <c r="E194" s="45" t="s">
        <v>36</v>
      </c>
      <c r="F194" s="46" t="str">
        <f>IFERROR(INDEX('Report - Income Statement'!$B$2:$D$35,MATCH(VLOOKUP('Report Actual'!$A194,Lookups!$E$2:$F$35,2,FALSE),'Report - Income Statement'!$A$2:$A$35,0),MATCH('Report Actual'!F$184,'Report - Income Statement'!$B$1:$D$1,0)),"")</f>
        <v/>
      </c>
      <c r="G194" s="46"/>
      <c r="H194" s="59"/>
    </row>
    <row r="195" spans="1:8" ht="15.75" customHeight="1" outlineLevel="1" collapsed="1" x14ac:dyDescent="0.3">
      <c r="A195" s="34" t="s">
        <v>154</v>
      </c>
      <c r="B195" s="46">
        <f>IFERROR(INDEX('Report - Income Statement'!$B$2:$D$35,MATCH(VLOOKUP('Report Actual'!$A195,Lookups!$E$2:$F$35,2,FALSE),'Report - Income Statement'!$A$2:$A$35,0),MATCH('Report Actual'!B$184,'Report - Income Statement'!$B$1:$D$1,0)),"")</f>
        <v>0</v>
      </c>
      <c r="C195" s="45" t="s">
        <v>36</v>
      </c>
      <c r="D195" s="46">
        <f>IFERROR(INDEX('Report - Income Statement'!$B$2:$D$35,MATCH(VLOOKUP('Report Actual'!$A195,Lookups!$E$2:$F$35,2,FALSE),'Report - Income Statement'!$A$2:$A$35,0),MATCH('Report Actual'!D$184,'Report - Income Statement'!$B$1:$D$1,0)),"")</f>
        <v>0</v>
      </c>
      <c r="E195" s="45" t="s">
        <v>36</v>
      </c>
      <c r="F195" s="46" t="str">
        <f>IFERROR(INDEX('Report - Income Statement'!$B$2:$D$35,MATCH(VLOOKUP('Report Actual'!$A195,Lookups!$E$2:$F$35,2,FALSE),'Report - Income Statement'!$A$2:$A$35,0),MATCH('Report Actual'!F$184,'Report - Income Statement'!$B$1:$D$1,0)),"")</f>
        <v/>
      </c>
      <c r="G195" s="46"/>
      <c r="H195" s="59"/>
    </row>
    <row r="196" spans="1:8" ht="15.75" customHeight="1" outlineLevel="1" collapsed="1" x14ac:dyDescent="0.3">
      <c r="A196" s="34" t="s">
        <v>155</v>
      </c>
      <c r="B196" s="46">
        <f>IFERROR(INDEX('Report - Income Statement'!$B$2:$D$35,MATCH(VLOOKUP('Report Actual'!$A196,Lookups!$E$2:$F$35,2,FALSE),'Report - Income Statement'!$A$2:$A$35,0),MATCH('Report Actual'!B$184,'Report - Income Statement'!$B$1:$D$1,0)),"")</f>
        <v>0</v>
      </c>
      <c r="C196" s="45" t="s">
        <v>36</v>
      </c>
      <c r="D196" s="46">
        <f>IFERROR(INDEX('Report - Income Statement'!$B$2:$D$35,MATCH(VLOOKUP('Report Actual'!$A196,Lookups!$E$2:$F$35,2,FALSE),'Report - Income Statement'!$A$2:$A$35,0),MATCH('Report Actual'!D$184,'Report - Income Statement'!$B$1:$D$1,0)),"")</f>
        <v>0</v>
      </c>
      <c r="E196" s="45" t="s">
        <v>36</v>
      </c>
      <c r="F196" s="46" t="str">
        <f>IFERROR(INDEX('Report - Income Statement'!$B$2:$D$35,MATCH(VLOOKUP('Report Actual'!$A196,Lookups!$E$2:$F$35,2,FALSE),'Report - Income Statement'!$A$2:$A$35,0),MATCH('Report Actual'!F$184,'Report - Income Statement'!$B$1:$D$1,0)),"")</f>
        <v/>
      </c>
      <c r="G196" s="46"/>
      <c r="H196" s="59"/>
    </row>
    <row r="197" spans="1:8" ht="15.75" customHeight="1" outlineLevel="1" collapsed="1" x14ac:dyDescent="0.3">
      <c r="A197" s="34" t="s">
        <v>156</v>
      </c>
      <c r="B197" s="46">
        <f>IFERROR(INDEX('Report - Income Statement'!$B$2:$D$35,MATCH(VLOOKUP('Report Actual'!$A197,Lookups!$E$2:$F$35,2,FALSE),'Report - Income Statement'!$A$2:$A$35,0),MATCH('Report Actual'!B$184,'Report - Income Statement'!$B$1:$D$1,0)),"")</f>
        <v>-336593</v>
      </c>
      <c r="C197" s="45" t="s">
        <v>36</v>
      </c>
      <c r="D197" s="46">
        <f>IFERROR(INDEX('Report - Income Statement'!$B$2:$D$35,MATCH(VLOOKUP('Report Actual'!$A197,Lookups!$E$2:$F$35,2,FALSE),'Report - Income Statement'!$A$2:$A$35,0),MATCH('Report Actual'!D$184,'Report - Income Statement'!$B$1:$D$1,0)),"")</f>
        <v>-11077</v>
      </c>
      <c r="E197" s="45" t="s">
        <v>36</v>
      </c>
      <c r="F197" s="46" t="str">
        <f>IFERROR(INDEX('Report - Income Statement'!$B$2:$D$35,MATCH(VLOOKUP('Report Actual'!$A197,Lookups!$E$2:$F$35,2,FALSE),'Report - Income Statement'!$A$2:$A$35,0),MATCH('Report Actual'!F$184,'Report - Income Statement'!$B$1:$D$1,0)),"")</f>
        <v/>
      </c>
      <c r="G197" s="46"/>
      <c r="H197" s="59"/>
    </row>
    <row r="198" spans="1:8" ht="15.75" customHeight="1" outlineLevel="1" collapsed="1" x14ac:dyDescent="0.3">
      <c r="A198" s="34" t="s">
        <v>157</v>
      </c>
      <c r="B198" s="46">
        <f>IFERROR(INDEX('Report - Income Statement'!$B$2:$D$35,MATCH(VLOOKUP('Report Actual'!$A198,Lookups!$E$2:$F$35,2,FALSE),'Report - Income Statement'!$A$2:$A$35,0),MATCH('Report Actual'!B$184,'Report - Income Statement'!$B$1:$D$1,0)),"")</f>
        <v>-70838</v>
      </c>
      <c r="C198" s="45" t="s">
        <v>36</v>
      </c>
      <c r="D198" s="46">
        <f>IFERROR(INDEX('Report - Income Statement'!$B$2:$D$35,MATCH(VLOOKUP('Report Actual'!$A198,Lookups!$E$2:$F$35,2,FALSE),'Report - Income Statement'!$A$2:$A$35,0),MATCH('Report Actual'!D$184,'Report - Income Statement'!$B$1:$D$1,0)),"")</f>
        <v>-40137</v>
      </c>
      <c r="E198" s="45" t="s">
        <v>36</v>
      </c>
      <c r="F198" s="46" t="str">
        <f>IFERROR(INDEX('Report - Income Statement'!$B$2:$D$35,MATCH(VLOOKUP('Report Actual'!$A198,Lookups!$E$2:$F$35,2,FALSE),'Report - Income Statement'!$A$2:$A$35,0),MATCH('Report Actual'!F$184,'Report - Income Statement'!$B$1:$D$1,0)),"")</f>
        <v/>
      </c>
      <c r="G198" s="46"/>
      <c r="H198" s="59"/>
    </row>
    <row r="199" spans="1:8" ht="15.75" customHeight="1" outlineLevel="1" collapsed="1" x14ac:dyDescent="0.3">
      <c r="A199" s="34" t="s">
        <v>158</v>
      </c>
      <c r="B199" s="46">
        <f>IFERROR(INDEX('Report - Income Statement'!$B$2:$D$35,MATCH(VLOOKUP('Report Actual'!$A199,Lookups!$E$2:$F$35,2,FALSE),'Report - Income Statement'!$A$2:$A$35,0),MATCH('Report Actual'!B$184,'Report - Income Statement'!$B$1:$D$1,0)),"")</f>
        <v>0</v>
      </c>
      <c r="C199" s="45" t="s">
        <v>36</v>
      </c>
      <c r="D199" s="46">
        <f>IFERROR(INDEX('Report - Income Statement'!$B$2:$D$35,MATCH(VLOOKUP('Report Actual'!$A199,Lookups!$E$2:$F$35,2,FALSE),'Report - Income Statement'!$A$2:$A$35,0),MATCH('Report Actual'!D$184,'Report - Income Statement'!$B$1:$D$1,0)),"")</f>
        <v>0</v>
      </c>
      <c r="E199" s="45" t="s">
        <v>36</v>
      </c>
      <c r="F199" s="46" t="str">
        <f>IFERROR(INDEX('Report - Income Statement'!$B$2:$D$35,MATCH(VLOOKUP('Report Actual'!$A199,Lookups!$E$2:$F$35,2,FALSE),'Report - Income Statement'!$A$2:$A$35,0),MATCH('Report Actual'!F$184,'Report - Income Statement'!$B$1:$D$1,0)),"")</f>
        <v/>
      </c>
      <c r="G199" s="46"/>
      <c r="H199" s="59"/>
    </row>
    <row r="200" spans="1:8" ht="15.75" customHeight="1" outlineLevel="1" collapsed="1" x14ac:dyDescent="0.3">
      <c r="A200" s="34" t="s">
        <v>159</v>
      </c>
      <c r="B200" s="46">
        <f>IFERROR(INDEX('Report - Income Statement'!$B$2:$D$35,MATCH(VLOOKUP('Report Actual'!$A200,Lookups!$E$2:$F$35,2,FALSE),'Report - Income Statement'!$A$2:$A$35,0),MATCH('Report Actual'!B$184,'Report - Income Statement'!$B$1:$D$1,0)),"")</f>
        <v>0</v>
      </c>
      <c r="C200" s="45" t="s">
        <v>36</v>
      </c>
      <c r="D200" s="46">
        <f>IFERROR(INDEX('Report - Income Statement'!$B$2:$D$35,MATCH(VLOOKUP('Report Actual'!$A200,Lookups!$E$2:$F$35,2,FALSE),'Report - Income Statement'!$A$2:$A$35,0),MATCH('Report Actual'!D$184,'Report - Income Statement'!$B$1:$D$1,0)),"")</f>
        <v>0</v>
      </c>
      <c r="E200" s="45" t="s">
        <v>36</v>
      </c>
      <c r="F200" s="46" t="str">
        <f>IFERROR(INDEX('Report - Income Statement'!$B$2:$D$35,MATCH(VLOOKUP('Report Actual'!$A200,Lookups!$E$2:$F$35,2,FALSE),'Report - Income Statement'!$A$2:$A$35,0),MATCH('Report Actual'!F$184,'Report - Income Statement'!$B$1:$D$1,0)),"")</f>
        <v/>
      </c>
      <c r="G200" s="46"/>
      <c r="H200" s="59"/>
    </row>
    <row r="201" spans="1:8" s="16" customFormat="1" ht="15.75" customHeight="1" outlineLevel="1" collapsed="1" x14ac:dyDescent="0.3">
      <c r="A201" s="75" t="s">
        <v>160</v>
      </c>
      <c r="B201" s="67">
        <f>IFERROR(INDEX('Report - Income Statement'!$B$2:$D$35,MATCH(VLOOKUP('Report Actual'!$A201,Lookups!$E$2:$F$35,2,FALSE),'Report - Income Statement'!$A$2:$A$35,0),MATCH('Report Actual'!B$184,'Report - Income Statement'!$B$1:$D$1,0)),"")</f>
        <v>1377902</v>
      </c>
      <c r="C201" s="66" t="s">
        <v>36</v>
      </c>
      <c r="D201" s="67">
        <f>IFERROR(INDEX('Report - Income Statement'!$B$2:$D$35,MATCH(VLOOKUP('Report Actual'!$A201,Lookups!$E$2:$F$35,2,FALSE),'Report - Income Statement'!$A$2:$A$35,0),MATCH('Report Actual'!D$184,'Report - Income Statement'!$B$1:$D$1,0)),"")</f>
        <v>-378877</v>
      </c>
      <c r="E201" s="66" t="s">
        <v>36</v>
      </c>
      <c r="F201" s="67" t="str">
        <f>IFERROR(INDEX('Report - Income Statement'!$B$2:$D$35,MATCH(VLOOKUP('Report Actual'!$A201,Lookups!$E$2:$F$35,2,FALSE),'Report - Income Statement'!$A$2:$A$35,0),MATCH('Report Actual'!F$184,'Report - Income Statement'!$B$1:$D$1,0)),"")</f>
        <v/>
      </c>
      <c r="G201" s="67"/>
      <c r="H201" s="68"/>
    </row>
    <row r="202" spans="1:8" ht="15.75" customHeight="1" outlineLevel="1" collapsed="1" x14ac:dyDescent="0.3">
      <c r="A202" s="34" t="s">
        <v>161</v>
      </c>
      <c r="B202" s="46">
        <f>IFERROR(INDEX('Report - Income Statement'!$B$2:$D$35,MATCH(VLOOKUP('Report Actual'!$A202,Lookups!$E$2:$F$35,2,FALSE),'Report - Income Statement'!$A$2:$A$35,0),MATCH('Report Actual'!B$184,'Report - Income Statement'!$B$1:$D$1,0)),"")</f>
        <v>0</v>
      </c>
      <c r="C202" s="45" t="s">
        <v>36</v>
      </c>
      <c r="D202" s="46">
        <f>IFERROR(INDEX('Report - Income Statement'!$B$2:$D$35,MATCH(VLOOKUP('Report Actual'!$A202,Lookups!$E$2:$F$35,2,FALSE),'Report - Income Statement'!$A$2:$A$35,0),MATCH('Report Actual'!D$184,'Report - Income Statement'!$B$1:$D$1,0)),"")</f>
        <v>0</v>
      </c>
      <c r="E202" s="45" t="s">
        <v>36</v>
      </c>
      <c r="F202" s="46" t="str">
        <f>IFERROR(INDEX('Report - Income Statement'!$B$2:$D$35,MATCH(VLOOKUP('Report Actual'!$A202,Lookups!$E$2:$F$35,2,FALSE),'Report - Income Statement'!$A$2:$A$35,0),MATCH('Report Actual'!F$184,'Report - Income Statement'!$B$1:$D$1,0)),"")</f>
        <v/>
      </c>
      <c r="G202" s="46"/>
      <c r="H202" s="59"/>
    </row>
    <row r="203" spans="1:8" ht="15.75" customHeight="1" outlineLevel="1" collapsed="1" x14ac:dyDescent="0.3">
      <c r="A203" s="34" t="s">
        <v>162</v>
      </c>
      <c r="B203" s="46">
        <f>IFERROR(INDEX('Report - Income Statement'!$B$2:$D$35,MATCH(VLOOKUP('Report Actual'!$A203,Lookups!$E$2:$F$35,2,FALSE),'Report - Income Statement'!$A$2:$A$35,0),MATCH('Report Actual'!B$184,'Report - Income Statement'!$B$1:$D$1,0)),"")</f>
        <v>264742</v>
      </c>
      <c r="C203" s="45" t="s">
        <v>36</v>
      </c>
      <c r="D203" s="46">
        <f>IFERROR(INDEX('Report - Income Statement'!$B$2:$D$35,MATCH(VLOOKUP('Report Actual'!$A203,Lookups!$E$2:$F$35,2,FALSE),'Report - Income Statement'!$A$2:$A$35,0),MATCH('Report Actual'!D$184,'Report - Income Statement'!$B$1:$D$1,0)),"")</f>
        <v>4595</v>
      </c>
      <c r="E203" s="45" t="s">
        <v>36</v>
      </c>
      <c r="F203" s="46" t="str">
        <f>IFERROR(INDEX('Report - Income Statement'!$B$2:$D$35,MATCH(VLOOKUP('Report Actual'!$A203,Lookups!$E$2:$F$35,2,FALSE),'Report - Income Statement'!$A$2:$A$35,0),MATCH('Report Actual'!F$184,'Report - Income Statement'!$B$1:$D$1,0)),"")</f>
        <v/>
      </c>
      <c r="G203" s="46"/>
    </row>
    <row r="204" spans="1:8" ht="15.75" customHeight="1" outlineLevel="1" collapsed="1" x14ac:dyDescent="0.3">
      <c r="A204" s="34" t="s">
        <v>163</v>
      </c>
      <c r="B204" s="46">
        <f>IFERROR(INDEX('Report - Income Statement'!$B$2:$D$35,MATCH(VLOOKUP('Report Actual'!$A204,Lookups!$E$2:$F$35,2,FALSE),'Report - Income Statement'!$A$2:$A$35,0),MATCH('Report Actual'!B$184,'Report - Income Statement'!$B$1:$D$1,0)),"")</f>
        <v>0</v>
      </c>
      <c r="C204" s="45" t="s">
        <v>36</v>
      </c>
      <c r="D204" s="46">
        <f>IFERROR(INDEX('Report - Income Statement'!$B$2:$D$35,MATCH(VLOOKUP('Report Actual'!$A204,Lookups!$E$2:$F$35,2,FALSE),'Report - Income Statement'!$A$2:$A$35,0),MATCH('Report Actual'!D$184,'Report - Income Statement'!$B$1:$D$1,0)),"")</f>
        <v>0</v>
      </c>
      <c r="E204" s="45" t="s">
        <v>36</v>
      </c>
      <c r="F204" s="46" t="str">
        <f>IFERROR(INDEX('Report - Income Statement'!$B$2:$D$35,MATCH(VLOOKUP('Report Actual'!$A204,Lookups!$E$2:$F$35,2,FALSE),'Report - Income Statement'!$A$2:$A$35,0),MATCH('Report Actual'!F$184,'Report - Income Statement'!$B$1:$D$1,0)),"")</f>
        <v/>
      </c>
      <c r="G204" s="46"/>
      <c r="H204" s="59"/>
    </row>
    <row r="205" spans="1:8" s="16" customFormat="1" ht="15.75" customHeight="1" outlineLevel="1" collapsed="1" x14ac:dyDescent="0.3">
      <c r="A205" s="75" t="s">
        <v>164</v>
      </c>
      <c r="B205" s="67">
        <f>IFERROR(INDEX('Report - Income Statement'!$B$2:$D$35,MATCH(VLOOKUP('Report Actual'!$A205,Lookups!$E$2:$F$35,2,FALSE),'Report - Income Statement'!$A$2:$A$35,0),MATCH('Report Actual'!B$184,'Report - Income Statement'!$B$1:$D$1,0)),"")</f>
        <v>1642644</v>
      </c>
      <c r="C205" s="66" t="s">
        <v>36</v>
      </c>
      <c r="D205" s="67">
        <f>IFERROR(INDEX('Report - Income Statement'!$B$2:$D$35,MATCH(VLOOKUP('Report Actual'!$A205,Lookups!$E$2:$F$35,2,FALSE),'Report - Income Statement'!$A$2:$A$35,0),MATCH('Report Actual'!D$184,'Report - Income Statement'!$B$1:$D$1,0)),"")</f>
        <v>-374282</v>
      </c>
      <c r="E205" s="66" t="s">
        <v>36</v>
      </c>
      <c r="F205" s="67" t="str">
        <f>IFERROR(INDEX('Report - Income Statement'!$B$2:$D$35,MATCH(VLOOKUP('Report Actual'!$A205,Lookups!$E$2:$F$35,2,FALSE),'Report - Income Statement'!$A$2:$A$35,0),MATCH('Report Actual'!F$184,'Report - Income Statement'!$B$1:$D$1,0)),"")</f>
        <v/>
      </c>
      <c r="G205" s="67"/>
      <c r="H205" s="68"/>
    </row>
    <row r="206" spans="1:8" ht="15.75" customHeight="1" outlineLevel="1" collapsed="1" x14ac:dyDescent="0.3">
      <c r="A206" s="34" t="s">
        <v>165</v>
      </c>
      <c r="B206" s="46">
        <f>IFERROR(INDEX('Report - Income Statement'!$B$2:$D$35,MATCH(VLOOKUP('Report Actual'!$A206,Lookups!$E$2:$F$35,2,FALSE),'Report - Income Statement'!$A$2:$A$35,0),MATCH('Report Actual'!B$184,'Report - Income Statement'!$B$1:$D$1,0)),"")</f>
        <v>0</v>
      </c>
      <c r="C206" s="45" t="s">
        <v>36</v>
      </c>
      <c r="D206" s="46">
        <f>IFERROR(INDEX('Report - Income Statement'!$B$2:$D$35,MATCH(VLOOKUP('Report Actual'!$A206,Lookups!$E$2:$F$35,2,FALSE),'Report - Income Statement'!$A$2:$A$35,0),MATCH('Report Actual'!D$184,'Report - Income Statement'!$B$1:$D$1,0)),"")</f>
        <v>0</v>
      </c>
      <c r="E206" s="45" t="s">
        <v>36</v>
      </c>
      <c r="F206" s="46" t="str">
        <f>IFERROR(INDEX('Report - Income Statement'!$B$2:$D$35,MATCH(VLOOKUP('Report Actual'!$A206,Lookups!$E$2:$F$35,2,FALSE),'Report - Income Statement'!$A$2:$A$35,0),MATCH('Report Actual'!F$184,'Report - Income Statement'!$B$1:$D$1,0)),"")</f>
        <v/>
      </c>
      <c r="G206" s="46"/>
      <c r="H206" s="59"/>
    </row>
    <row r="207" spans="1:8" ht="15.75" customHeight="1" outlineLevel="1" collapsed="1" x14ac:dyDescent="0.3">
      <c r="A207" s="34" t="s">
        <v>166</v>
      </c>
      <c r="B207" s="46">
        <f>IFERROR(INDEX('Report - Income Statement'!$B$2:$D$35,MATCH(VLOOKUP('Report Actual'!$A207,Lookups!$E$2:$F$35,2,FALSE),'Report - Income Statement'!$A$2:$A$35,0),MATCH('Report Actual'!B$184,'Report - Income Statement'!$B$1:$D$1,0)),"")</f>
        <v>0</v>
      </c>
      <c r="C207" s="45" t="s">
        <v>36</v>
      </c>
      <c r="D207" s="46">
        <f>IFERROR(INDEX('Report - Income Statement'!$B$2:$D$35,MATCH(VLOOKUP('Report Actual'!$A207,Lookups!$E$2:$F$35,2,FALSE),'Report - Income Statement'!$A$2:$A$35,0),MATCH('Report Actual'!D$184,'Report - Income Statement'!$B$1:$D$1,0)),"")</f>
        <v>0</v>
      </c>
      <c r="E207" s="45" t="s">
        <v>36</v>
      </c>
      <c r="F207" s="46" t="str">
        <f>IFERROR(INDEX('Report - Income Statement'!$B$2:$D$35,MATCH(VLOOKUP('Report Actual'!$A207,Lookups!$E$2:$F$35,2,FALSE),'Report - Income Statement'!$A$2:$A$35,0),MATCH('Report Actual'!F$184,'Report - Income Statement'!$B$1:$D$1,0)),"")</f>
        <v/>
      </c>
      <c r="G207" s="46"/>
    </row>
    <row r="208" spans="1:8" ht="15.75" customHeight="1" outlineLevel="1" collapsed="1" x14ac:dyDescent="0.3">
      <c r="A208" s="34" t="s">
        <v>167</v>
      </c>
      <c r="B208" s="46">
        <f>IFERROR(INDEX('Report - Income Statement'!$B$2:$D$35,MATCH(VLOOKUP('Report Actual'!$A208,Lookups!$E$2:$F$35,2,FALSE),'Report - Income Statement'!$A$2:$A$35,0),MATCH('Report Actual'!B$184,'Report - Income Statement'!$B$1:$D$1,0)),"")</f>
        <v>0</v>
      </c>
      <c r="C208" s="45" t="s">
        <v>36</v>
      </c>
      <c r="D208" s="46">
        <f>IFERROR(INDEX('Report - Income Statement'!$B$2:$D$35,MATCH(VLOOKUP('Report Actual'!$A208,Lookups!$E$2:$F$35,2,FALSE),'Report - Income Statement'!$A$2:$A$35,0),MATCH('Report Actual'!D$184,'Report - Income Statement'!$B$1:$D$1,0)),"")</f>
        <v>0</v>
      </c>
      <c r="E208" s="45" t="s">
        <v>36</v>
      </c>
      <c r="F208" s="46" t="str">
        <f>IFERROR(INDEX('Report - Income Statement'!$B$2:$D$35,MATCH(VLOOKUP('Report Actual'!$A208,Lookups!$E$2:$F$35,2,FALSE),'Report - Income Statement'!$A$2:$A$35,0),MATCH('Report Actual'!F$184,'Report - Income Statement'!$B$1:$D$1,0)),"")</f>
        <v/>
      </c>
      <c r="G208" s="46"/>
      <c r="H208" s="59"/>
    </row>
    <row r="209" spans="1:8" s="16" customFormat="1" ht="15.75" customHeight="1" outlineLevel="1" collapsed="1" x14ac:dyDescent="0.3">
      <c r="A209" s="75" t="s">
        <v>168</v>
      </c>
      <c r="B209" s="67">
        <f>IFERROR(INDEX('Report - Income Statement'!$B$2:$D$35,MATCH(VLOOKUP('Report Actual'!$A209,Lookups!$E$2:$F$35,2,FALSE),'Report - Income Statement'!$A$2:$A$35,0),MATCH('Report Actual'!B$184,'Report - Income Statement'!$B$1:$D$1,0)),"")</f>
        <v>1642644</v>
      </c>
      <c r="C209" s="66" t="s">
        <v>36</v>
      </c>
      <c r="D209" s="67">
        <f>IFERROR(INDEX('Report - Income Statement'!$B$2:$D$35,MATCH(VLOOKUP('Report Actual'!$A209,Lookups!$E$2:$F$35,2,FALSE),'Report - Income Statement'!$A$2:$A$35,0),MATCH('Report Actual'!D$184,'Report - Income Statement'!$B$1:$D$1,0)),"")</f>
        <v>-374282</v>
      </c>
      <c r="E209" s="66" t="s">
        <v>36</v>
      </c>
      <c r="F209" s="67" t="str">
        <f>IFERROR(INDEX('Report - Income Statement'!$B$2:$D$35,MATCH(VLOOKUP('Report Actual'!$A209,Lookups!$E$2:$F$35,2,FALSE),'Report - Income Statement'!$A$2:$A$35,0),MATCH('Report Actual'!F$184,'Report - Income Statement'!$B$1:$D$1,0)),"")</f>
        <v/>
      </c>
      <c r="G209" s="67"/>
      <c r="H209" s="68"/>
    </row>
    <row r="210" spans="1:8" ht="15.75" customHeight="1" outlineLevel="1" collapsed="1" x14ac:dyDescent="0.3">
      <c r="A210" s="34" t="s">
        <v>169</v>
      </c>
      <c r="B210" s="46">
        <f>IFERROR(INDEX('Report - Income Statement'!$B$2:$D$35,MATCH(VLOOKUP('Report Actual'!$A210,Lookups!$E$2:$F$35,2,FALSE),'Report - Income Statement'!$A$2:$A$35,0),MATCH('Report Actual'!B$184,'Report - Income Statement'!$B$1:$D$1,0)),"")</f>
        <v>0</v>
      </c>
      <c r="C210" s="45" t="s">
        <v>36</v>
      </c>
      <c r="D210" s="46">
        <f>IFERROR(INDEX('Report - Income Statement'!$B$2:$D$35,MATCH(VLOOKUP('Report Actual'!$A210,Lookups!$E$2:$F$35,2,FALSE),'Report - Income Statement'!$A$2:$A$35,0),MATCH('Report Actual'!D$184,'Report - Income Statement'!$B$1:$D$1,0)),"")</f>
        <v>0</v>
      </c>
      <c r="E210" s="45" t="s">
        <v>36</v>
      </c>
      <c r="F210" s="46" t="str">
        <f>IFERROR(INDEX('Report - Income Statement'!$B$2:$D$35,MATCH(VLOOKUP('Report Actual'!$A210,Lookups!$E$2:$F$35,2,FALSE),'Report - Income Statement'!$A$2:$A$35,0),MATCH('Report Actual'!F$184,'Report - Income Statement'!$B$1:$D$1,0)),"")</f>
        <v/>
      </c>
      <c r="G210" s="46"/>
    </row>
    <row r="211" spans="1:8" ht="15.75" customHeight="1" outlineLevel="1" collapsed="1" x14ac:dyDescent="0.3">
      <c r="A211" s="34" t="s">
        <v>170</v>
      </c>
      <c r="B211" s="46">
        <f>IFERROR(INDEX('Report - Income Statement'!$B$2:$D$35,MATCH(VLOOKUP('Report Actual'!$A211,Lookups!$E$2:$F$35,2,FALSE),'Report - Income Statement'!$A$2:$A$35,0),MATCH('Report Actual'!B$184,'Report - Income Statement'!$B$1:$D$1,0)),"")</f>
        <v>0</v>
      </c>
      <c r="C211" s="45" t="s">
        <v>36</v>
      </c>
      <c r="D211" s="46">
        <f>IFERROR(INDEX('Report - Income Statement'!$B$2:$D$35,MATCH(VLOOKUP('Report Actual'!$A211,Lookups!$E$2:$F$35,2,FALSE),'Report - Income Statement'!$A$2:$A$35,0),MATCH('Report Actual'!D$184,'Report - Income Statement'!$B$1:$D$1,0)),"")</f>
        <v>0</v>
      </c>
      <c r="E211" s="45" t="s">
        <v>36</v>
      </c>
      <c r="F211" s="46" t="str">
        <f>IFERROR(INDEX('Report - Income Statement'!$B$2:$D$35,MATCH(VLOOKUP('Report Actual'!$A211,Lookups!$E$2:$F$35,2,FALSE),'Report - Income Statement'!$A$2:$A$35,0),MATCH('Report Actual'!F$184,'Report - Income Statement'!$B$1:$D$1,0)),"")</f>
        <v/>
      </c>
      <c r="G211" s="46"/>
      <c r="H211" s="59"/>
    </row>
    <row r="212" spans="1:8" s="16" customFormat="1" ht="15.75" customHeight="1" outlineLevel="1" collapsed="1" x14ac:dyDescent="0.3">
      <c r="A212" s="75" t="s">
        <v>171</v>
      </c>
      <c r="B212" s="67">
        <f>IFERROR(INDEX('Report - Income Statement'!$B$2:$D$35,MATCH(VLOOKUP('Report Actual'!$A212,Lookups!$E$2:$F$35,2,FALSE),'Report - Income Statement'!$A$2:$A$35,0),MATCH('Report Actual'!B$184,'Report - Income Statement'!$B$1:$D$1,0)),"")</f>
        <v>1642644</v>
      </c>
      <c r="C212" s="66" t="s">
        <v>36</v>
      </c>
      <c r="D212" s="67">
        <f>IFERROR(INDEX('Report - Income Statement'!$B$2:$D$35,MATCH(VLOOKUP('Report Actual'!$A212,Lookups!$E$2:$F$35,2,FALSE),'Report - Income Statement'!$A$2:$A$35,0),MATCH('Report Actual'!D$184,'Report - Income Statement'!$B$1:$D$1,0)),"")</f>
        <v>-374282</v>
      </c>
      <c r="E212" s="66" t="s">
        <v>36</v>
      </c>
      <c r="F212" s="67" t="str">
        <f>IFERROR(INDEX('Report - Income Statement'!$B$2:$D$35,MATCH(VLOOKUP('Report Actual'!$A212,Lookups!$E$2:$F$35,2,FALSE),'Report - Income Statement'!$A$2:$A$35,0),MATCH('Report Actual'!F$184,'Report - Income Statement'!$B$1:$D$1,0)),"")</f>
        <v/>
      </c>
      <c r="G212" s="67"/>
      <c r="H212" s="68"/>
    </row>
    <row r="213" spans="1:8" ht="15.75" customHeight="1" outlineLevel="1" collapsed="1" x14ac:dyDescent="0.3">
      <c r="A213" s="34" t="s">
        <v>107</v>
      </c>
      <c r="B213" s="46">
        <f>IFERROR(INDEX('Report - Income Statement'!$B$2:$D$35,MATCH(VLOOKUP('Report Actual'!$A213,Lookups!$E$2:$F$35,2,FALSE),'Report - Income Statement'!$A$2:$A$35,0),MATCH('Report Actual'!B$184,'Report - Income Statement'!$B$1:$D$1,0)),"")</f>
        <v>0</v>
      </c>
      <c r="C213" s="45" t="s">
        <v>36</v>
      </c>
      <c r="D213" s="46">
        <f>IFERROR(INDEX('Report - Income Statement'!$B$2:$D$35,MATCH(VLOOKUP('Report Actual'!$A213,Lookups!$E$2:$F$35,2,FALSE),'Report - Income Statement'!$A$2:$A$35,0),MATCH('Report Actual'!D$184,'Report - Income Statement'!$B$1:$D$1,0)),"")</f>
        <v>0</v>
      </c>
      <c r="E213" s="45" t="s">
        <v>36</v>
      </c>
      <c r="F213" s="46" t="str">
        <f>IFERROR(INDEX('Report - Income Statement'!$B$2:$D$35,MATCH(VLOOKUP('Report Actual'!$A213,Lookups!$E$2:$F$35,2,FALSE),'Report - Income Statement'!$A$2:$A$35,0),MATCH('Report Actual'!F$184,'Report - Income Statement'!$B$1:$D$1,0)),"")</f>
        <v/>
      </c>
      <c r="G213" s="46"/>
      <c r="H213" s="59"/>
    </row>
    <row r="214" spans="1:8" ht="15.75" customHeight="1" outlineLevel="1" collapsed="1" x14ac:dyDescent="0.3">
      <c r="A214" s="34" t="s">
        <v>172</v>
      </c>
      <c r="B214" s="46">
        <f>IFERROR(INDEX('Report - Income Statement'!$B$2:$D$35,MATCH(VLOOKUP('Report Actual'!$A214,Lookups!$E$2:$F$35,2,FALSE),'Report - Income Statement'!$A$2:$A$35,0),MATCH('Report Actual'!B$184,'Report - Income Statement'!$B$1:$D$1,0)),"")</f>
        <v>0</v>
      </c>
      <c r="C214" s="45" t="s">
        <v>36</v>
      </c>
      <c r="D214" s="46">
        <f>IFERROR(INDEX('Report - Income Statement'!$B$2:$D$35,MATCH(VLOOKUP('Report Actual'!$A214,Lookups!$E$2:$F$35,2,FALSE),'Report - Income Statement'!$A$2:$A$35,0),MATCH('Report Actual'!D$184,'Report - Income Statement'!$B$1:$D$1,0)),"")</f>
        <v>0</v>
      </c>
      <c r="E214" s="45" t="s">
        <v>36</v>
      </c>
      <c r="F214" s="46" t="str">
        <f>IFERROR(INDEX('Report - Income Statement'!$B$2:$D$35,MATCH(VLOOKUP('Report Actual'!$A214,Lookups!$E$2:$F$35,2,FALSE),'Report - Income Statement'!$A$2:$A$35,0),MATCH('Report Actual'!F$184,'Report - Income Statement'!$B$1:$D$1,0)),"")</f>
        <v/>
      </c>
      <c r="G214" s="46"/>
      <c r="H214" s="59"/>
    </row>
    <row r="215" spans="1:8" ht="15.75" customHeight="1" outlineLevel="1" collapsed="1" x14ac:dyDescent="0.3">
      <c r="A215" s="34" t="s">
        <v>173</v>
      </c>
      <c r="B215" s="46">
        <f>IFERROR(INDEX('Report - Income Statement'!$B$2:$D$35,MATCH(VLOOKUP('Report Actual'!$A215,Lookups!$E$2:$F$35,2,FALSE),'Report - Income Statement'!$A$2:$A$35,0),MATCH('Report Actual'!B$184,'Report - Income Statement'!$B$1:$D$1,0)),"")</f>
        <v>0</v>
      </c>
      <c r="C215" s="45" t="s">
        <v>36</v>
      </c>
      <c r="D215" s="46">
        <f>IFERROR(INDEX('Report - Income Statement'!$B$2:$D$35,MATCH(VLOOKUP('Report Actual'!$A215,Lookups!$E$2:$F$35,2,FALSE),'Report - Income Statement'!$A$2:$A$35,0),MATCH('Report Actual'!D$184,'Report - Income Statement'!$B$1:$D$1,0)),"")</f>
        <v>0</v>
      </c>
      <c r="E215" s="45" t="s">
        <v>36</v>
      </c>
      <c r="F215" s="46" t="str">
        <f>IFERROR(INDEX('Report - Income Statement'!$B$2:$D$35,MATCH(VLOOKUP('Report Actual'!$A215,Lookups!$E$2:$F$35,2,FALSE),'Report - Income Statement'!$A$2:$A$35,0),MATCH('Report Actual'!F$184,'Report - Income Statement'!$B$1:$D$1,0)),"")</f>
        <v/>
      </c>
      <c r="G215" s="46"/>
    </row>
    <row r="216" spans="1:8" ht="15.75" customHeight="1" outlineLevel="1" collapsed="1" x14ac:dyDescent="0.3">
      <c r="A216" s="34" t="s">
        <v>174</v>
      </c>
      <c r="B216" s="46">
        <f>IFERROR(INDEX('Report - Income Statement'!$B$2:$D$35,MATCH(VLOOKUP('Report Actual'!$A216,Lookups!$E$2:$F$35,2,FALSE),'Report - Income Statement'!$A$2:$A$35,0),MATCH('Report Actual'!B$184,'Report - Income Statement'!$B$1:$D$1,0)),"")</f>
        <v>0</v>
      </c>
      <c r="C216" s="45" t="s">
        <v>36</v>
      </c>
      <c r="D216" s="46">
        <f>IFERROR(INDEX('Report - Income Statement'!$B$2:$D$35,MATCH(VLOOKUP('Report Actual'!$A216,Lookups!$E$2:$F$35,2,FALSE),'Report - Income Statement'!$A$2:$A$35,0),MATCH('Report Actual'!D$184,'Report - Income Statement'!$B$1:$D$1,0)),"")</f>
        <v>0</v>
      </c>
      <c r="E216" s="45" t="s">
        <v>36</v>
      </c>
      <c r="F216" s="46" t="str">
        <f>IFERROR(INDEX('Report - Income Statement'!$B$2:$D$35,MATCH(VLOOKUP('Report Actual'!$A216,Lookups!$E$2:$F$35,2,FALSE),'Report - Income Statement'!$A$2:$A$35,0),MATCH('Report Actual'!F$184,'Report - Income Statement'!$B$1:$D$1,0)),"")</f>
        <v/>
      </c>
      <c r="G216" s="46"/>
      <c r="H216" s="59"/>
    </row>
    <row r="217" spans="1:8" s="16" customFormat="1" ht="15.75" customHeight="1" outlineLevel="1" collapsed="1" x14ac:dyDescent="0.3">
      <c r="A217" s="69" t="s">
        <v>175</v>
      </c>
      <c r="B217" s="71">
        <f>IF(SUM(B212:B216)=0,"",SUM(B212:B216))</f>
        <v>1642644</v>
      </c>
      <c r="C217" s="70" t="s">
        <v>36</v>
      </c>
      <c r="D217" s="71">
        <f>IF(SUM(D212:D216)=0,"",SUM(D212:D216))</f>
        <v>-374282</v>
      </c>
      <c r="E217" s="70" t="s">
        <v>36</v>
      </c>
      <c r="F217" s="71" t="str">
        <f>IF(F184="","",SUM(F212:F216))</f>
        <v/>
      </c>
      <c r="G217" s="71"/>
      <c r="H217" s="55"/>
    </row>
    <row r="219" spans="1:8" ht="15.75" customHeight="1" x14ac:dyDescent="0.3">
      <c r="A219" s="3" t="s">
        <v>176</v>
      </c>
      <c r="B219" s="4"/>
      <c r="C219" s="4"/>
      <c r="D219" s="4"/>
      <c r="E219" s="4"/>
      <c r="F219" s="4"/>
      <c r="G219" s="4"/>
      <c r="H219" s="4"/>
    </row>
    <row r="220" spans="1:8" s="16" customFormat="1" ht="15.75" customHeight="1" outlineLevel="1" collapsed="1" x14ac:dyDescent="0.3">
      <c r="A220" s="40" t="s">
        <v>30</v>
      </c>
      <c r="B220" s="41" t="str">
        <f>B184</f>
        <v>2025-02-28</v>
      </c>
      <c r="C220" s="42"/>
      <c r="D220" s="41" t="str">
        <f>D184</f>
        <v>2024-02-28</v>
      </c>
      <c r="E220" s="42"/>
      <c r="F220" s="41" t="str">
        <f>F184</f>
        <v/>
      </c>
      <c r="G220" s="41"/>
      <c r="H220" s="43"/>
    </row>
    <row r="221" spans="1:8" s="16" customFormat="1" ht="15.75" customHeight="1" outlineLevel="1" collapsed="1" x14ac:dyDescent="0.3">
      <c r="A221" s="28" t="s">
        <v>177</v>
      </c>
      <c r="B221" s="55"/>
      <c r="C221" s="56"/>
      <c r="D221" s="55"/>
      <c r="E221" s="56"/>
      <c r="F221" s="55"/>
      <c r="G221" s="55"/>
      <c r="H221" s="57"/>
    </row>
    <row r="222" spans="1:8" ht="15.75" customHeight="1" outlineLevel="1" collapsed="1" x14ac:dyDescent="0.3">
      <c r="A222" s="34" t="s">
        <v>178</v>
      </c>
      <c r="B222" s="86">
        <f>IFERROR(ABS(ROUND(INDEX('Report - Financial Ratios'!$B$2:$D$40,MATCH(VLOOKUP($A222,Lookups!$M$2:$N$39,2,FALSE),'Report - Financial Ratios'!$A$2:$A$40,0),MATCH('Report Actual'!B$220,'Report - Financial Ratios'!$B$1:$D$1,0)),0)),"")</f>
        <v>55245</v>
      </c>
      <c r="C222" s="45" t="s">
        <v>36</v>
      </c>
      <c r="D222" s="87">
        <f>IFERROR(ABS(ROUND(INDEX('Report - Financial Ratios'!$B$2:$D$40,MATCH(VLOOKUP($A222,Lookups!$M$2:$N$39,2,FALSE),'Report - Financial Ratios'!$A$2:$A$40,0),MATCH('Report Actual'!D$220,'Report - Financial Ratios'!$B$1:$D$1,0)),0)),"")</f>
        <v>9337</v>
      </c>
      <c r="E222" s="45" t="s">
        <v>36</v>
      </c>
      <c r="F222" s="87" t="str">
        <f>IFERROR(ABS(ROUND(INDEX('Report - Financial Ratios'!$B$2:$D$40,MATCH(VLOOKUP($A222,Lookups!$M$2:$N$39,2,FALSE),'Report - Financial Ratios'!$A$2:$A$40,0),MATCH('Report Actual'!F$220,'Report - Financial Ratios'!$B$1:$D$1,0)),0)),"")</f>
        <v/>
      </c>
      <c r="G222" s="46"/>
      <c r="H222" s="46"/>
    </row>
    <row r="223" spans="1:8" ht="15.75" customHeight="1" outlineLevel="1" collapsed="1" x14ac:dyDescent="0.3">
      <c r="A223" s="34" t="s">
        <v>179</v>
      </c>
      <c r="B223" s="44">
        <f>IFERROR(ROUND(INDEX('Report - Financial Ratios'!$B$2:$D$40,MATCH(VLOOKUP($A223,Lookups!$M$2:$N$39,2,FALSE),'Report - Financial Ratios'!$A$2:$A$40,0),MATCH('Report Actual'!B$220,'Report - Financial Ratios'!$B$1:$D$1,0)),0),"")</f>
        <v>0</v>
      </c>
      <c r="C223" s="45" t="s">
        <v>36</v>
      </c>
      <c r="D223" s="44">
        <f>IFERROR(ROUND(INDEX('Report - Financial Ratios'!$B$2:$D$40,MATCH(VLOOKUP($A223,Lookups!$M$2:$N$39,2,FALSE),'Report - Financial Ratios'!$A$2:$A$40,0),MATCH('Report Actual'!D$220,'Report - Financial Ratios'!$B$1:$D$1,0)),0),"")</f>
        <v>0</v>
      </c>
      <c r="E223" s="45" t="s">
        <v>36</v>
      </c>
      <c r="F223" s="64" t="str">
        <f>IFERROR(ROUND(INDEX('Report - Financial Ratios'!$B$2:$D$40,MATCH(VLOOKUP($A223,Lookups!$M$2:$N$39,2,FALSE),'Report - Financial Ratios'!$A$2:$A$40,0),MATCH('Report Actual'!F$220,'Report - Financial Ratios'!$B$1:$D$1,0)),0),"")</f>
        <v/>
      </c>
      <c r="G223" s="46"/>
      <c r="H223" s="46"/>
    </row>
    <row r="224" spans="1:8" ht="15.75" customHeight="1" outlineLevel="1" collapsed="1" x14ac:dyDescent="0.3">
      <c r="A224" s="94" t="s">
        <v>180</v>
      </c>
      <c r="B224" s="88">
        <f>IFERROR(ABS(ROUND(INDEX('Report - Financial Ratios'!$B$2:$D$40,MATCH(VLOOKUP($A224,Lookups!$M$2:$N$39,2,FALSE),'Report - Financial Ratios'!$A$2:$A$40,0),MATCH('Report Actual'!B$220,'Report - Financial Ratios'!$B$1:$D$1,0)),0)),"")</f>
        <v>0</v>
      </c>
      <c r="C224" s="76" t="s">
        <v>36</v>
      </c>
      <c r="D224" s="89">
        <f>IFERROR(ABS(ROUND(INDEX('Report - Financial Ratios'!$B$2:$D$40,MATCH(VLOOKUP($A224,Lookups!$M$2:$N$39,2,FALSE),'Report - Financial Ratios'!$A$2:$A$40,0),MATCH('Report Actual'!D$220,'Report - Financial Ratios'!$B$1:$D$1,0)),0)),"")</f>
        <v>0</v>
      </c>
      <c r="E224" s="95" t="s">
        <v>36</v>
      </c>
      <c r="F224" s="89" t="str">
        <f>IFERROR(ABS(ROUND(INDEX('Report - Financial Ratios'!$B$2:$D$40,MATCH(VLOOKUP($A224,Lookups!$M$2:$N$39,2,FALSE),'Report - Financial Ratios'!$A$2:$A$40,0),MATCH('Report Actual'!F$220,'Report - Financial Ratios'!$B$1:$D$1,0)),0)),"")</f>
        <v/>
      </c>
      <c r="G224" s="96"/>
      <c r="H224" s="96"/>
    </row>
    <row r="225" spans="1:8" s="16" customFormat="1" ht="15.75" customHeight="1" outlineLevel="1" collapsed="1" x14ac:dyDescent="0.3">
      <c r="A225" s="28" t="s">
        <v>181</v>
      </c>
      <c r="B225" s="55"/>
      <c r="C225" s="56"/>
      <c r="D225" s="55"/>
      <c r="E225" s="56"/>
      <c r="F225" s="55"/>
      <c r="G225" s="55"/>
      <c r="H225" s="57"/>
    </row>
    <row r="226" spans="1:8" ht="15.75" customHeight="1" outlineLevel="1" collapsed="1" x14ac:dyDescent="0.3">
      <c r="A226" s="34" t="s">
        <v>182</v>
      </c>
      <c r="B226" s="64">
        <f>IFERROR(ABS(ROUND(INDEX('Report - Financial Ratios'!$B$2:$D$40,MATCH(VLOOKUP($A226,Lookups!$M$2:$N$39,2,FALSE),'Report - Financial Ratios'!$A$2:$A$40,0),MATCH('Report Actual'!B$220,'Report - Financial Ratios'!$B$1:$D$1,0)),0)),"")</f>
        <v>70237</v>
      </c>
      <c r="C226" s="45" t="s">
        <v>36</v>
      </c>
      <c r="D226" s="64">
        <f>IFERROR(ABS(ROUND(INDEX('Report - Financial Ratios'!$B$2:$D$40,MATCH(VLOOKUP($A226,Lookups!$M$2:$N$39,2,FALSE),'Report - Financial Ratios'!$A$2:$A$40,0),MATCH('Report Actual'!D$220,'Report - Financial Ratios'!$B$1:$D$1,0)),0)),"")</f>
        <v>10437</v>
      </c>
      <c r="E226" s="45" t="s">
        <v>36</v>
      </c>
      <c r="F226" s="64" t="str">
        <f>IFERROR(ABS(ROUND(INDEX('Report - Financial Ratios'!$B$2:$D$40,MATCH(VLOOKUP($A226,Lookups!$M$2:$N$39,2,FALSE),'Report - Financial Ratios'!$A$2:$A$40,0),MATCH('Report Actual'!F$220,'Report - Financial Ratios'!$B$1:$D$1,0)),0)),"")</f>
        <v/>
      </c>
      <c r="G226" s="46"/>
      <c r="H226" s="46"/>
    </row>
    <row r="227" spans="1:8" ht="15.75" customHeight="1" outlineLevel="1" collapsed="1" x14ac:dyDescent="0.3">
      <c r="A227" s="34" t="s">
        <v>183</v>
      </c>
      <c r="B227" s="64">
        <f>IFERROR(ROUND(INDEX('Report - Financial Ratios'!$B$2:$D$40,MATCH(VLOOKUP($A227,Lookups!$M$2:$N$39,2,FALSE),'Report - Financial Ratios'!$A$2:$A$40,0),MATCH('Report Actual'!B$220,'Report - Financial Ratios'!$B$1:$D$1,0)),0),"")</f>
        <v>1385654</v>
      </c>
      <c r="C227" s="45" t="s">
        <v>36</v>
      </c>
      <c r="D227" s="64">
        <f>IFERROR(ROUND(INDEX('Report - Financial Ratios'!$B$2:$D$40,MATCH(VLOOKUP($A227,Lookups!$M$2:$N$39,2,FALSE),'Report - Financial Ratios'!$A$2:$A$40,0),MATCH('Report Actual'!D$220,'Report - Financial Ratios'!$B$1:$D$1,0)),0),"")</f>
        <v>850247</v>
      </c>
      <c r="E227" s="45" t="s">
        <v>36</v>
      </c>
      <c r="F227" s="64" t="str">
        <f>IFERROR(ROUND(INDEX('Report - Financial Ratios'!$B$2:$D$40,MATCH(VLOOKUP($A227,Lookups!$M$2:$N$39,2,FALSE),'Report - Financial Ratios'!$A$2:$A$40,0),MATCH('Report Actual'!F$220,'Report - Financial Ratios'!$B$1:$D$1,0)),0),"")</f>
        <v/>
      </c>
      <c r="G227" s="46"/>
      <c r="H227" s="46"/>
    </row>
    <row r="228" spans="1:8" ht="15.75" customHeight="1" outlineLevel="1" collapsed="1" x14ac:dyDescent="0.3">
      <c r="A228" s="94" t="s">
        <v>184</v>
      </c>
      <c r="B228" s="88">
        <f>IFERROR(ABS(ROUND(INDEX('Report - Financial Ratios'!$B$2:$D$40,MATCH(VLOOKUP($A228,Lookups!$M$2:$N$39,2,FALSE),'Report - Financial Ratios'!$A$2:$A$40,0),MATCH('Report Actual'!B$220,'Report - Financial Ratios'!$B$1:$D$1,0)),0)),"")</f>
        <v>20</v>
      </c>
      <c r="C228" s="76" t="s">
        <v>36</v>
      </c>
      <c r="D228" s="89">
        <f>IFERROR(ABS(ROUND(INDEX('Report - Financial Ratios'!$B$2:$D$40,MATCH(VLOOKUP($A228,Lookups!$M$2:$N$39,2,FALSE),'Report - Financial Ratios'!$A$2:$A$40,0),MATCH('Report Actual'!D$220,'Report - Financial Ratios'!$B$1:$D$1,0)),0)),"")</f>
        <v>81</v>
      </c>
      <c r="E228" s="95" t="s">
        <v>36</v>
      </c>
      <c r="F228" s="89" t="str">
        <f>IFERROR(ABS(ROUND(INDEX('Report - Financial Ratios'!$B$2:$D$40,MATCH(VLOOKUP($A228,Lookups!$M$2:$N$39,2,FALSE),'Report - Financial Ratios'!$A$2:$A$40,0),MATCH('Report Actual'!F$220,'Report - Financial Ratios'!$B$1:$D$1,0)),0)),"")</f>
        <v/>
      </c>
      <c r="G228" s="96"/>
      <c r="H228" s="96"/>
    </row>
    <row r="229" spans="1:8" s="16" customFormat="1" ht="15.75" customHeight="1" outlineLevel="1" collapsed="1" x14ac:dyDescent="0.3">
      <c r="A229" s="28" t="s">
        <v>185</v>
      </c>
      <c r="B229" s="55"/>
      <c r="C229" s="56"/>
      <c r="D229" s="55"/>
      <c r="E229" s="56"/>
      <c r="F229" s="55"/>
      <c r="G229" s="55"/>
      <c r="H229" s="57"/>
    </row>
    <row r="230" spans="1:8" ht="15.75" customHeight="1" outlineLevel="1" collapsed="1" x14ac:dyDescent="0.3">
      <c r="A230" s="34" t="s">
        <v>178</v>
      </c>
      <c r="B230" s="64">
        <f>IFERROR(ABS(ROUND(INDEX('Report - Financial Ratios'!$B$2:$D$40,MATCH(VLOOKUP($A230,Lookups!$M$2:$N$39,2,FALSE),'Report - Financial Ratios'!$A$2:$A$40,0),MATCH('Report Actual'!B$220,'Report - Financial Ratios'!$B$1:$D$1,0)),0)),"")</f>
        <v>55245</v>
      </c>
      <c r="C230" s="45" t="s">
        <v>36</v>
      </c>
      <c r="D230" s="64">
        <f>IFERROR(ABS(ROUND(INDEX('Report - Financial Ratios'!$B$2:$D$40,MATCH(VLOOKUP($A230,Lookups!$M$2:$N$39,2,FALSE),'Report - Financial Ratios'!$A$2:$A$40,0),MATCH('Report Actual'!D$220,'Report - Financial Ratios'!$B$1:$D$1,0)),0)),"")</f>
        <v>9337</v>
      </c>
      <c r="E230" s="45" t="s">
        <v>36</v>
      </c>
      <c r="F230" s="64" t="str">
        <f>IFERROR(ABS(ROUND(INDEX('Report - Financial Ratios'!$B$2:$D$40,MATCH(VLOOKUP($A230,Lookups!$M$2:$N$39,2,FALSE),'Report - Financial Ratios'!$A$2:$A$40,0),MATCH('Report Actual'!F$220,'Report - Financial Ratios'!$B$1:$D$1,0)),0)),"")</f>
        <v/>
      </c>
      <c r="G230" s="46"/>
      <c r="H230" s="46"/>
    </row>
    <row r="231" spans="1:8" ht="15.75" customHeight="1" outlineLevel="1" collapsed="1" x14ac:dyDescent="0.3">
      <c r="A231" s="34" t="s">
        <v>186</v>
      </c>
      <c r="B231" s="64">
        <f>IFERROR(ROUND(INDEX('Report - Financial Ratios'!$B$2:$D$40,MATCH(VLOOKUP($A231,Lookups!$M$2:$N$39,2,FALSE),'Report - Financial Ratios'!$A$2:$A$40,0),MATCH('Report Actual'!B$220,'Report - Financial Ratios'!$B$1:$D$1,0)),0),"")</f>
        <v>1565509</v>
      </c>
      <c r="C231" s="45" t="s">
        <v>36</v>
      </c>
      <c r="D231" s="64">
        <f>IFERROR(ROUND(INDEX('Report - Financial Ratios'!$B$2:$D$40,MATCH(VLOOKUP($A231,Lookups!$M$2:$N$39,2,FALSE),'Report - Financial Ratios'!$A$2:$A$40,0),MATCH('Report Actual'!D$220,'Report - Financial Ratios'!$B$1:$D$1,0)),0),"")</f>
        <v>1685</v>
      </c>
      <c r="E231" s="45" t="s">
        <v>36</v>
      </c>
      <c r="F231" s="64" t="str">
        <f>IFERROR(ROUND(INDEX('Report - Financial Ratios'!$B$2:$D$40,MATCH(VLOOKUP($A231,Lookups!$M$2:$N$39,2,FALSE),'Report - Financial Ratios'!$A$2:$A$40,0),MATCH('Report Actual'!F$220,'Report - Financial Ratios'!$B$1:$D$1,0)),0),"")</f>
        <v/>
      </c>
      <c r="G231" s="46"/>
      <c r="H231" s="46"/>
    </row>
    <row r="232" spans="1:8" ht="15.75" customHeight="1" outlineLevel="1" collapsed="1" x14ac:dyDescent="0.3">
      <c r="A232" s="94" t="s">
        <v>187</v>
      </c>
      <c r="B232" s="88">
        <f>IFERROR(ABS(ROUND(INDEX('Report - Financial Ratios'!$B$2:$D$40,MATCH(VLOOKUP($A232,Lookups!$M$2:$N$39,2,FALSE),'Report - Financial Ratios'!$A$2:$A$40,0),MATCH('Report Actual'!B$220,'Report - Financial Ratios'!$B$1:$D$1,0)),0)),"")</f>
        <v>28</v>
      </c>
      <c r="C232" s="76" t="s">
        <v>36</v>
      </c>
      <c r="D232" s="89">
        <f>IFERROR(ABS(ROUND(INDEX('Report - Financial Ratios'!$B$2:$D$40,MATCH(VLOOKUP($A232,Lookups!$M$2:$N$39,2,FALSE),'Report - Financial Ratios'!$A$2:$A$40,0),MATCH('Report Actual'!D$220,'Report - Financial Ratios'!$B$1:$D$1,0)),0)),"")</f>
        <v>0</v>
      </c>
      <c r="E232" s="95" t="s">
        <v>36</v>
      </c>
      <c r="F232" s="89" t="str">
        <f>IFERROR(ABS(ROUND(INDEX('Report - Financial Ratios'!$B$2:$D$40,MATCH(VLOOKUP($A232,Lookups!$M$2:$N$39,2,FALSE),'Report - Financial Ratios'!$A$2:$A$40,0),MATCH('Report Actual'!F$220,'Report - Financial Ratios'!$B$1:$D$1,0)),0)),"")</f>
        <v/>
      </c>
      <c r="G232" s="96"/>
      <c r="H232" s="96"/>
    </row>
    <row r="233" spans="1:8" s="16" customFormat="1" ht="15.75" customHeight="1" outlineLevel="1" collapsed="1" x14ac:dyDescent="0.3">
      <c r="A233" s="28" t="s">
        <v>188</v>
      </c>
      <c r="B233" s="55"/>
      <c r="C233" s="56"/>
      <c r="D233" s="55"/>
      <c r="E233" s="56"/>
      <c r="F233" s="55"/>
      <c r="G233" s="55"/>
      <c r="H233" s="57"/>
    </row>
    <row r="234" spans="1:8" ht="15.75" customHeight="1" outlineLevel="1" collapsed="1" x14ac:dyDescent="0.3">
      <c r="A234" s="34" t="s">
        <v>189</v>
      </c>
      <c r="B234" s="90">
        <f>IFERROR(INDEX('Report - Financial Ratios'!$B$2:$D$40,MATCH(VLOOKUP($A234,Lookups!$M$2:$N$39,2,FALSE),'Report - Financial Ratios'!$A$2:$A$40,0),MATCH('Report Actual'!B$220,'Report - Financial Ratios'!$B$1:$D$1,0)),"")</f>
        <v>5.7296621314776068</v>
      </c>
      <c r="C234" s="47" t="s">
        <v>36</v>
      </c>
      <c r="D234" s="90">
        <f>IFERROR(INDEX('Report - Financial Ratios'!$B$2:$D$40,MATCH(VLOOKUP($A234,Lookups!$M$2:$N$39,2,FALSE),'Report - Financial Ratios'!$A$2:$A$40,0),MATCH('Report Actual'!D$220,'Report - Financial Ratios'!$B$1:$D$1,0)),"")</f>
        <v>0</v>
      </c>
      <c r="E234" s="58" t="s">
        <v>36</v>
      </c>
      <c r="F234" s="90" t="str">
        <f>IFERROR(INDEX('Report - Financial Ratios'!$B$2:$D$40,MATCH(VLOOKUP($A234,Lookups!$M$2:$N$39,2,FALSE),'Report - Financial Ratios'!$A$2:$A$40,0),MATCH('Report Actual'!F$220,'Report - Financial Ratios'!$B$1:$D$1,0)),"")</f>
        <v/>
      </c>
      <c r="G234" s="59"/>
      <c r="H234" s="59"/>
    </row>
    <row r="235" spans="1:8" ht="15.75" customHeight="1" outlineLevel="1" collapsed="1" x14ac:dyDescent="0.3">
      <c r="A235" s="34" t="s">
        <v>190</v>
      </c>
      <c r="B235" s="91">
        <f>IFERROR(INDEX('Report - Financial Ratios'!$B$2:$D$40,MATCH(VLOOKUP($A235,Lookups!$M$2:$N$39,2,FALSE),'Report - Financial Ratios'!$A$2:$A$40,0),MATCH('Report Actual'!B$220,'Report - Financial Ratios'!$B$1:$D$1,0)),"")</f>
        <v>12.633914622934155</v>
      </c>
      <c r="C235" s="45" t="s">
        <v>36</v>
      </c>
      <c r="D235" s="91">
        <f>IFERROR(INDEX('Report - Financial Ratios'!$B$2:$D$40,MATCH(VLOOKUP($A235,Lookups!$M$2:$N$39,2,FALSE),'Report - Financial Ratios'!$A$2:$A$40,0),MATCH('Report Actual'!D$220,'Report - Financial Ratios'!$B$1:$D$1,0)),"")</f>
        <v>0</v>
      </c>
      <c r="E235" s="58" t="s">
        <v>36</v>
      </c>
      <c r="F235" s="91" t="str">
        <f>IFERROR(INDEX('Report - Financial Ratios'!$B$2:$D$40,MATCH(VLOOKUP($A235,Lookups!$M$2:$N$39,2,FALSE),'Report - Financial Ratios'!$A$2:$A$40,0),MATCH('Report Actual'!F$220,'Report - Financial Ratios'!$B$1:$D$1,0)),"")</f>
        <v/>
      </c>
      <c r="G235" s="59"/>
      <c r="H235" s="59"/>
    </row>
    <row r="236" spans="1:8" ht="15.75" customHeight="1" outlineLevel="1" collapsed="1" x14ac:dyDescent="0.3">
      <c r="A236" s="34" t="s">
        <v>191</v>
      </c>
      <c r="B236" s="91">
        <f>IFERROR(INDEX('Report - Financial Ratios'!$B$2:$D$40,MATCH(VLOOKUP($A236,Lookups!$M$2:$N$39,2,FALSE),'Report - Financial Ratios'!$A$2:$A$40,0),MATCH('Report Actual'!B$220,'Report - Financial Ratios'!$B$1:$D$1,0)),"")</f>
        <v>0.15969670679001294</v>
      </c>
      <c r="C236" s="45" t="s">
        <v>36</v>
      </c>
      <c r="D236" s="91">
        <f>IFERROR(INDEX('Report - Financial Ratios'!$B$2:$D$40,MATCH(VLOOKUP($A236,Lookups!$M$2:$N$39,2,FALSE),'Report - Financial Ratios'!$A$2:$A$40,0),MATCH('Report Actual'!D$220,'Report - Financial Ratios'!$B$1:$D$1,0)),"")</f>
        <v>0.20481221797257887</v>
      </c>
      <c r="E236" s="58" t="s">
        <v>36</v>
      </c>
      <c r="F236" s="91" t="str">
        <f>IFERROR(INDEX('Report - Financial Ratios'!$B$2:$D$40,MATCH(VLOOKUP($A236,Lookups!$M$2:$N$39,2,FALSE),'Report - Financial Ratios'!$A$2:$A$40,0),MATCH('Report Actual'!F$220,'Report - Financial Ratios'!$B$1:$D$1,0)),"")</f>
        <v/>
      </c>
      <c r="G236" s="59"/>
      <c r="H236" s="59"/>
    </row>
    <row r="237" spans="1:8" ht="15.75" customHeight="1" outlineLevel="1" collapsed="1" x14ac:dyDescent="0.3">
      <c r="A237" s="77" t="s">
        <v>192</v>
      </c>
      <c r="B237" s="85">
        <f>IFERROR(INDEX('Report - Financial Ratios'!$B$2:$D$40,MATCH(VLOOKUP($A237,Lookups!$M$2:$N$39,2,FALSE),'Report - Financial Ratios'!$A$2:$A$40,0),MATCH('Report Actual'!B$220,'Report - Financial Ratios'!$B$1:$D$1,0)),"")</f>
        <v>-6.1279594188151849</v>
      </c>
      <c r="C237" s="97" t="s">
        <v>36</v>
      </c>
      <c r="D237" s="85">
        <f>IFERROR(INDEX('Report - Financial Ratios'!$B$2:$D$40,MATCH(VLOOKUP($A237,Lookups!$M$2:$N$39,2,FALSE),'Report - Financial Ratios'!$A$2:$A$40,0),MATCH('Report Actual'!D$220,'Report - Financial Ratios'!$B$1:$D$1,0)),"")</f>
        <v>0</v>
      </c>
      <c r="E237" s="78" t="s">
        <v>36</v>
      </c>
      <c r="F237" s="85" t="str">
        <f>IFERROR(INDEX('Report - Financial Ratios'!$B$2:$D$40,MATCH(VLOOKUP($A237,Lookups!$M$2:$N$39,2,FALSE),'Report - Financial Ratios'!$A$2:$A$40,0),MATCH('Report Actual'!F$220,'Report - Financial Ratios'!$B$1:$D$1,0)),"")</f>
        <v/>
      </c>
      <c r="G237" s="79"/>
      <c r="H237" s="79"/>
    </row>
    <row r="238" spans="1:8" s="16" customFormat="1" ht="15.75" customHeight="1" outlineLevel="1" collapsed="1" x14ac:dyDescent="0.3">
      <c r="A238" s="28" t="s">
        <v>193</v>
      </c>
      <c r="B238" s="80"/>
      <c r="C238" s="70"/>
      <c r="D238" s="80"/>
      <c r="E238" s="70"/>
      <c r="F238" s="80"/>
      <c r="G238" s="55"/>
      <c r="H238" s="57"/>
    </row>
    <row r="239" spans="1:8" ht="15.75" customHeight="1" outlineLevel="1" collapsed="1" x14ac:dyDescent="0.3">
      <c r="A239" s="34" t="s">
        <v>194</v>
      </c>
      <c r="B239" s="91">
        <f>IFERROR(INDEX('Report - Financial Ratios'!$B$2:$D$40,MATCH(VLOOKUP($A239,Lookups!$M$2:$N$39,2,FALSE),'Report - Financial Ratios'!$A$2:$A$40,0),MATCH('Report Actual'!B$220,'Report - Financial Ratios'!$B$1:$D$1,0)),"")</f>
        <v>0.21344448446559247</v>
      </c>
      <c r="C239" s="45" t="s">
        <v>36</v>
      </c>
      <c r="D239" s="91">
        <f>IFERROR(INDEX('Report - Financial Ratios'!$B$2:$D$40,MATCH(VLOOKUP($A239,Lookups!$M$2:$N$39,2,FALSE),'Report - Financial Ratios'!$A$2:$A$40,0),MATCH('Report Actual'!D$220,'Report - Financial Ratios'!$B$1:$D$1,0)),"")</f>
        <v>0.10535560064785915</v>
      </c>
      <c r="E239" s="58" t="s">
        <v>36</v>
      </c>
      <c r="F239" s="91" t="str">
        <f>IFERROR(INDEX('Report - Financial Ratios'!$B$2:$D$40,MATCH(VLOOKUP($A239,Lookups!$M$2:$N$39,2,FALSE),'Report - Financial Ratios'!$A$2:$A$40,0),MATCH('Report Actual'!F$220,'Report - Financial Ratios'!$B$1:$D$1,0)),"")</f>
        <v/>
      </c>
      <c r="G239" s="59"/>
      <c r="H239" s="59"/>
    </row>
    <row r="240" spans="1:8" ht="15.75" customHeight="1" outlineLevel="1" collapsed="1" x14ac:dyDescent="0.3">
      <c r="A240" s="34" t="s">
        <v>195</v>
      </c>
      <c r="B240" s="91">
        <f>IFERROR(INDEX('Report - Financial Ratios'!$B$2:$D$40,MATCH(VLOOKUP($A240,Lookups!$M$2:$N$39,2,FALSE),'Report - Financial Ratios'!$A$2:$A$40,0),MATCH('Report Actual'!B$220,'Report - Financial Ratios'!$B$1:$D$1,0)),"")</f>
        <v>6.4074560100881375E-2</v>
      </c>
      <c r="C240" s="45" t="s">
        <v>36</v>
      </c>
      <c r="D240" s="91">
        <f>IFERROR(INDEX('Report - Financial Ratios'!$B$2:$D$40,MATCH(VLOOKUP($A240,Lookups!$M$2:$N$39,2,FALSE),'Report - Financial Ratios'!$A$2:$A$40,0),MATCH('Report Actual'!D$220,'Report - Financial Ratios'!$B$1:$D$1,0)),"")</f>
        <v>-9.8250412787080618E-2</v>
      </c>
      <c r="E240" s="58" t="s">
        <v>36</v>
      </c>
      <c r="F240" s="91" t="str">
        <f>IFERROR(INDEX('Report - Financial Ratios'!$B$2:$D$40,MATCH(VLOOKUP($A240,Lookups!$M$2:$N$39,2,FALSE),'Report - Financial Ratios'!$A$2:$A$40,0),MATCH('Report Actual'!F$220,'Report - Financial Ratios'!$B$1:$D$1,0)),"")</f>
        <v/>
      </c>
      <c r="G240" s="59"/>
      <c r="H240" s="59"/>
    </row>
    <row r="241" spans="1:8" ht="15.75" customHeight="1" outlineLevel="1" collapsed="1" x14ac:dyDescent="0.3">
      <c r="A241" s="34" t="s">
        <v>196</v>
      </c>
      <c r="B241" s="91">
        <f>IFERROR(INDEX('Report - Financial Ratios'!$B$2:$D$40,MATCH(VLOOKUP($A241,Lookups!$M$2:$N$39,2,FALSE),'Report - Financial Ratios'!$A$2:$A$40,0),MATCH('Report Actual'!B$220,'Report - Financial Ratios'!$B$1:$D$1,0)),"")</f>
        <v>6.6837735620608255E-2</v>
      </c>
      <c r="C241" s="45" t="s">
        <v>36</v>
      </c>
      <c r="D241" s="91">
        <f>IFERROR(INDEX('Report - Financial Ratios'!$B$2:$D$40,MATCH(VLOOKUP($A241,Lookups!$M$2:$N$39,2,FALSE),'Report - Financial Ratios'!$A$2:$A$40,0),MATCH('Report Actual'!D$220,'Report - Financial Ratios'!$B$1:$D$1,0)),"")</f>
        <v>-8.771430146450819E-2</v>
      </c>
      <c r="E241" s="58" t="s">
        <v>36</v>
      </c>
      <c r="F241" s="91" t="str">
        <f>IFERROR(INDEX('Report - Financial Ratios'!$B$2:$D$40,MATCH(VLOOKUP($A241,Lookups!$M$2:$N$39,2,FALSE),'Report - Financial Ratios'!$A$2:$A$40,0),MATCH('Report Actual'!F$220,'Report - Financial Ratios'!$B$1:$D$1,0)),"")</f>
        <v/>
      </c>
      <c r="G241" s="59"/>
      <c r="H241" s="59"/>
    </row>
    <row r="242" spans="1:8" ht="15.75" customHeight="1" outlineLevel="1" collapsed="1" x14ac:dyDescent="0.3">
      <c r="A242" s="34" t="s">
        <v>197</v>
      </c>
      <c r="B242" s="91">
        <f>IFERROR(INDEX('Report - Financial Ratios'!$B$2:$D$40,MATCH(VLOOKUP($A242,Lookups!$M$2:$N$39,2,FALSE),'Report - Financial Ratios'!$A$2:$A$40,0),MATCH('Report Actual'!B$220,'Report - Financial Ratios'!$B$1:$D$1,0)),"")</f>
        <v>0.24638764380914754</v>
      </c>
      <c r="C242" s="45" t="s">
        <v>36</v>
      </c>
      <c r="D242" s="91">
        <f>IFERROR(INDEX('Report - Financial Ratios'!$B$2:$D$40,MATCH(VLOOKUP($A242,Lookups!$M$2:$N$39,2,FALSE),'Report - Financial Ratios'!$A$2:$A$40,0),MATCH('Report Actual'!D$220,'Report - Financial Ratios'!$B$1:$D$1,0)),"")</f>
        <v>-6.4825003043959981E-2</v>
      </c>
      <c r="E242" s="36" t="s">
        <v>36</v>
      </c>
      <c r="F242" s="91" t="str">
        <f>IFERROR(INDEX('Report - Financial Ratios'!$B$2:$D$40,MATCH(VLOOKUP($A242,Lookups!$M$2:$N$39,2,FALSE),'Report - Financial Ratios'!$A$2:$A$40,0),MATCH('Report Actual'!F$220,'Report - Financial Ratios'!$B$1:$D$1,0)),"")</f>
        <v/>
      </c>
    </row>
    <row r="243" spans="1:8" ht="15.75" customHeight="1" outlineLevel="1" collapsed="1" x14ac:dyDescent="0.3">
      <c r="A243" s="34" t="s">
        <v>198</v>
      </c>
      <c r="B243" s="91">
        <f>IFERROR(INDEX('Report - Financial Ratios'!$B$2:$D$40,MATCH(VLOOKUP($A243,Lookups!$M$2:$N$39,2,FALSE),'Report - Financial Ratios'!$A$2:$A$40,0),MATCH('Report Actual'!B$220,'Report - Financial Ratios'!$B$1:$D$1,0)),"")</f>
        <v>0.2546066787901004</v>
      </c>
      <c r="C243" s="45" t="s">
        <v>36</v>
      </c>
      <c r="D243" s="91">
        <f>IFERROR(INDEX('Report - Financial Ratios'!$B$2:$D$40,MATCH(VLOOKUP($A243,Lookups!$M$2:$N$39,2,FALSE),'Report - Financial Ratios'!$A$2:$A$40,0),MATCH('Report Actual'!D$220,'Report - Financial Ratios'!$B$1:$D$1,0)),"")</f>
        <v>-6.4825003043959981E-2</v>
      </c>
      <c r="E243" s="36" t="s">
        <v>36</v>
      </c>
      <c r="F243" s="91" t="str">
        <f>IFERROR(INDEX('Report - Financial Ratios'!$B$2:$D$40,MATCH(VLOOKUP($A243,Lookups!$M$2:$N$39,2,FALSE),'Report - Financial Ratios'!$A$2:$A$40,0),MATCH('Report Actual'!F$220,'Report - Financial Ratios'!$B$1:$D$1,0)),"")</f>
        <v/>
      </c>
    </row>
    <row r="244" spans="1:8" s="16" customFormat="1" ht="15.75" customHeight="1" outlineLevel="1" collapsed="1" x14ac:dyDescent="0.3">
      <c r="A244" s="28" t="s">
        <v>199</v>
      </c>
      <c r="B244" s="80"/>
      <c r="C244" s="70"/>
      <c r="D244" s="80"/>
      <c r="E244" s="70"/>
      <c r="F244" s="80"/>
      <c r="G244" s="55"/>
      <c r="H244" s="57"/>
    </row>
    <row r="245" spans="1:8" ht="15.75" customHeight="1" outlineLevel="1" collapsed="1" x14ac:dyDescent="0.3">
      <c r="A245" s="34" t="s">
        <v>200</v>
      </c>
      <c r="B245" s="91">
        <f>IFERROR(INDEX('Report - Financial Ratios'!$B$2:$D$40,MATCH(VLOOKUP($A245,Lookups!$M$2:$N$39,2,FALSE),'Report - Financial Ratios'!$A$2:$A$40,0),MATCH('Report Actual'!B$220,'Report - Financial Ratios'!$B$1:$D$1,0)),"")</f>
        <v>6.0372197480495556E-2</v>
      </c>
      <c r="C245" s="45" t="s">
        <v>36</v>
      </c>
      <c r="D245" s="91">
        <f>IFERROR(INDEX('Report - Financial Ratios'!$B$2:$D$40,MATCH(VLOOKUP($A245,Lookups!$M$2:$N$39,2,FALSE),'Report - Financial Ratios'!$A$2:$A$40,0),MATCH('Report Actual'!D$220,'Report - Financial Ratios'!$B$1:$D$1,0)),"")</f>
        <v>0</v>
      </c>
      <c r="E245" s="58" t="s">
        <v>36</v>
      </c>
      <c r="F245" s="91" t="str">
        <f>IFERROR(INDEX('Report - Financial Ratios'!$B$2:$D$40,MATCH(VLOOKUP($A245,Lookups!$M$2:$N$39,2,FALSE),'Report - Financial Ratios'!$A$2:$A$40,0),MATCH('Report Actual'!F$220,'Report - Financial Ratios'!$B$1:$D$1,0)),"")</f>
        <v/>
      </c>
      <c r="G245" s="59"/>
      <c r="H245" s="59"/>
    </row>
    <row r="246" spans="1:8" ht="15.75" customHeight="1" outlineLevel="1" collapsed="1" x14ac:dyDescent="0.3">
      <c r="A246" s="34" t="s">
        <v>201</v>
      </c>
      <c r="B246" s="91">
        <f>IFERROR(INDEX('Report - Financial Ratios'!$B$2:$D$40,MATCH(VLOOKUP($A246,Lookups!$M$2:$N$39,2,FALSE),'Report - Financial Ratios'!$A$2:$A$40,0),MATCH('Report Actual'!B$220,'Report - Financial Ratios'!$B$1:$D$1,0)),"")</f>
        <v>3.9958855931239649E-2</v>
      </c>
      <c r="C246" s="45" t="s">
        <v>36</v>
      </c>
      <c r="D246" s="91">
        <f>IFERROR(INDEX('Report - Financial Ratios'!$B$2:$D$40,MATCH(VLOOKUP($A246,Lookups!$M$2:$N$39,2,FALSE),'Report - Financial Ratios'!$A$2:$A$40,0),MATCH('Report Actual'!D$220,'Report - Financial Ratios'!$B$1:$D$1,0)),"")</f>
        <v>0</v>
      </c>
      <c r="E246" s="58" t="s">
        <v>36</v>
      </c>
      <c r="F246" s="91" t="str">
        <f>IFERROR(INDEX('Report - Financial Ratios'!$B$2:$D$40,MATCH(VLOOKUP($A246,Lookups!$M$2:$N$39,2,FALSE),'Report - Financial Ratios'!$A$2:$A$40,0),MATCH('Report Actual'!F$220,'Report - Financial Ratios'!$B$1:$D$1,0)),"")</f>
        <v/>
      </c>
      <c r="G246" s="59"/>
      <c r="H246" s="59"/>
    </row>
    <row r="247" spans="1:8" ht="15.75" customHeight="1" outlineLevel="1" collapsed="1" x14ac:dyDescent="0.3">
      <c r="A247" s="34" t="s">
        <v>202</v>
      </c>
      <c r="B247" s="92">
        <f>IFERROR(INDEX('Report - Financial Ratios'!$B$2:$D$40,MATCH(VLOOKUP($A247,Lookups!$M$2:$N$39,2,FALSE),'Report - Financial Ratios'!$A$2:$A$40,0),MATCH('Report Actual'!B$220,'Report - Financial Ratios'!$B$1:$D$1,0)),"")</f>
        <v>0</v>
      </c>
      <c r="C247" s="76" t="s">
        <v>36</v>
      </c>
      <c r="D247" s="93">
        <f>IFERROR(INDEX('Report - Financial Ratios'!$B$2:$D$40,MATCH(VLOOKUP($A247,Lookups!$M$2:$N$39,2,FALSE),'Report - Financial Ratios'!$A$2:$A$40,0),MATCH('Report Actual'!D$220,'Report - Financial Ratios'!$B$1:$D$1,0)),"")</f>
        <v>0</v>
      </c>
      <c r="E247" s="58" t="s">
        <v>36</v>
      </c>
      <c r="F247" s="93" t="str">
        <f>IFERROR(INDEX('Report - Financial Ratios'!$B$2:$D$40,MATCH(VLOOKUP($A247,Lookups!$M$2:$N$39,2,FALSE),'Report - Financial Ratios'!$A$2:$A$40,0),MATCH('Report Actual'!F$220,'Report - Financial Ratios'!$B$1:$D$1,0)),"")</f>
        <v/>
      </c>
      <c r="G247" s="59"/>
      <c r="H247" s="59"/>
    </row>
    <row r="248" spans="1:8" ht="15.75" customHeight="1" outlineLevel="1" collapsed="1" x14ac:dyDescent="0.3">
      <c r="A248" s="34" t="s">
        <v>203</v>
      </c>
      <c r="B248" s="114">
        <f>IFERROR(INDEX('Report - Financial Ratios'!$B$2:$D$40,MATCH(VLOOKUP($A248,Lookups!$M$2:$N$39,2,FALSE),'Report - Financial Ratios'!$A$2:$A$40,0),MATCH('Report Actual'!B$220,'Report - Financial Ratios'!$B$1:$D$1,0)),"")</f>
        <v>3.9808332539559004</v>
      </c>
      <c r="C248" s="58" t="s">
        <v>36</v>
      </c>
      <c r="D248" s="115">
        <f>IFERROR(INDEX('Report - Financial Ratios'!$B$2:$D$40,MATCH(VLOOKUP($A248,Lookups!$M$2:$N$39,2,FALSE),'Report - Financial Ratios'!$A$2:$A$40,0),MATCH('Report Actual'!D$220,'Report - Financial Ratios'!$B$1:$D$1,0)),"")</f>
        <v>0</v>
      </c>
      <c r="E248" s="58" t="s">
        <v>36</v>
      </c>
      <c r="F248" s="115" t="str">
        <f>IFERROR(INDEX('Report - Financial Ratios'!$B$2:$D$40,MATCH(VLOOKUP($A248,Lookups!$M$2:$N$39,2,FALSE),'Report - Financial Ratios'!$A$2:$A$40,0),MATCH('Report Actual'!F$220,'Report - Financial Ratios'!$B$1:$D$1,0)),"")</f>
        <v/>
      </c>
      <c r="G248" s="59"/>
    </row>
    <row r="249" spans="1:8" ht="15.75" customHeight="1" outlineLevel="1" collapsed="1" x14ac:dyDescent="0.3">
      <c r="A249" s="34" t="s">
        <v>204</v>
      </c>
      <c r="B249" s="91">
        <f>IFERROR(INDEX('Report - Financial Ratios'!$B$2:$D$40,MATCH(VLOOKUP($A249,Lookups!$M$2:$N$39,2,FALSE),'Report - Financial Ratios'!$A$2:$A$40,0),MATCH('Report Actual'!B$220,'Report - Financial Ratios'!$B$1:$D$1,0)),"")</f>
        <v>1</v>
      </c>
      <c r="C249" s="45" t="s">
        <v>36</v>
      </c>
      <c r="D249" s="91">
        <f>IFERROR(INDEX('Report - Financial Ratios'!$B$2:$D$40,MATCH(VLOOKUP($A249,Lookups!$M$2:$N$39,2,FALSE),'Report - Financial Ratios'!$A$2:$A$40,0),MATCH('Report Actual'!D$220,'Report - Financial Ratios'!$B$1:$D$1,0)),"")</f>
        <v>1</v>
      </c>
      <c r="E249" s="36" t="s">
        <v>36</v>
      </c>
      <c r="F249" s="91" t="str">
        <f>IFERROR(INDEX('Report - Financial Ratios'!$B$2:$D$40,MATCH(VLOOKUP($A249,Lookups!$M$2:$N$39,2,FALSE),'Report - Financial Ratios'!$A$2:$A$40,0),MATCH('Report Actual'!F$220,'Report - Financial Ratios'!$B$1:$D$1,0)),"")</f>
        <v/>
      </c>
    </row>
    <row r="250" spans="1:8" s="16" customFormat="1" ht="15.75" customHeight="1" outlineLevel="1" collapsed="1" x14ac:dyDescent="0.3">
      <c r="A250" s="28" t="s">
        <v>205</v>
      </c>
      <c r="B250" s="80"/>
      <c r="C250" s="70"/>
      <c r="D250" s="80"/>
      <c r="E250" s="70"/>
      <c r="F250" s="80"/>
      <c r="G250" s="55"/>
      <c r="H250" s="57"/>
    </row>
    <row r="251" spans="1:8" ht="15.75" customHeight="1" outlineLevel="1" collapsed="1" x14ac:dyDescent="0.3">
      <c r="A251" s="34" t="s">
        <v>206</v>
      </c>
      <c r="B251" s="92">
        <f>IFERROR(INDEX('Report - Financial Ratios'!$B$2:$D$40,MATCH(VLOOKUP($A251,Lookups!$M$2:$N$39,2,FALSE),'Report - Financial Ratios'!$A$2:$A$40,0),MATCH('Report Actual'!B$220,'Report - Financial Ratios'!$B$1:$D$1,0)),"")</f>
        <v>1.8691335369149416</v>
      </c>
      <c r="C251" s="76" t="s">
        <v>36</v>
      </c>
      <c r="D251" s="93">
        <f>IFERROR(INDEX('Report - Financial Ratios'!$B$2:$D$40,MATCH(VLOOKUP($A251,Lookups!$M$2:$N$39,2,FALSE),'Report - Financial Ratios'!$A$2:$A$40,0),MATCH('Report Actual'!D$220,'Report - Financial Ratios'!$B$1:$D$1,0)),"")</f>
        <v>34.224167764262283</v>
      </c>
      <c r="E251" s="58" t="s">
        <v>36</v>
      </c>
      <c r="F251" s="93" t="str">
        <f>IFERROR(INDEX('Report - Financial Ratios'!$B$2:$D$40,MATCH(VLOOKUP($A251,Lookups!$M$2:$N$39,2,FALSE),'Report - Financial Ratios'!$A$2:$A$40,0),MATCH('Report Actual'!F$220,'Report - Financial Ratios'!$B$1:$D$1,0)),"")</f>
        <v/>
      </c>
      <c r="G251" s="59"/>
      <c r="H251" s="59"/>
    </row>
    <row r="252" spans="1:8" ht="15.75" customHeight="1" outlineLevel="1" collapsed="1" x14ac:dyDescent="0.3">
      <c r="A252" s="34" t="s">
        <v>207</v>
      </c>
      <c r="B252" s="92">
        <f>IFERROR(INDEX('Report - Financial Ratios'!$B$2:$D$40,MATCH(VLOOKUP($A252,Lookups!$M$2:$N$39,2,FALSE),'Report - Financial Ratios'!$A$2:$A$40,0),MATCH('Report Actual'!B$220,'Report - Financial Ratios'!$B$1:$D$1,0)),"")</f>
        <v>1.8691335369149416</v>
      </c>
      <c r="C252" s="76" t="s">
        <v>36</v>
      </c>
      <c r="D252" s="93">
        <f>IFERROR(INDEX('Report - Financial Ratios'!$B$2:$D$40,MATCH(VLOOKUP($A252,Lookups!$M$2:$N$39,2,FALSE),'Report - Financial Ratios'!$A$2:$A$40,0),MATCH('Report Actual'!D$220,'Report - Financial Ratios'!$B$1:$D$1,0)),"")</f>
        <v>34.224167764262283</v>
      </c>
      <c r="E252" s="58" t="s">
        <v>36</v>
      </c>
      <c r="F252" s="93" t="str">
        <f>IFERROR(INDEX('Report - Financial Ratios'!$B$2:$D$40,MATCH(VLOOKUP($A252,Lookups!$M$2:$N$39,2,FALSE),'Report - Financial Ratios'!$A$2:$A$40,0),MATCH('Report Actual'!F$220,'Report - Financial Ratios'!$B$1:$D$1,0)),"")</f>
        <v/>
      </c>
      <c r="G252" s="59"/>
      <c r="H252" s="59"/>
    </row>
    <row r="253" spans="1:8" ht="15.75" customHeight="1" outlineLevel="1" collapsed="1" x14ac:dyDescent="0.3">
      <c r="A253" s="34" t="s">
        <v>180</v>
      </c>
      <c r="B253" s="92">
        <f>IFERROR(INDEX('Report - Financial Ratios'!$B$2:$D$40,MATCH(VLOOKUP($A253,Lookups!$M$2:$N$39,2,FALSE),'Report - Financial Ratios'!$A$2:$A$40,0),MATCH('Report Actual'!B$220,'Report - Financial Ratios'!$B$1:$D$1,0)),"")</f>
        <v>0</v>
      </c>
      <c r="C253" s="76" t="s">
        <v>36</v>
      </c>
      <c r="D253" s="93">
        <f>IFERROR(INDEX('Report - Financial Ratios'!$B$2:$D$40,MATCH(VLOOKUP($A253,Lookups!$M$2:$N$39,2,FALSE),'Report - Financial Ratios'!$A$2:$A$40,0),MATCH('Report Actual'!D$220,'Report - Financial Ratios'!$B$1:$D$1,0)),"")</f>
        <v>0</v>
      </c>
      <c r="E253" s="58" t="s">
        <v>36</v>
      </c>
      <c r="F253" s="93" t="str">
        <f>IFERROR(INDEX('Report - Financial Ratios'!$B$2:$D$40,MATCH(VLOOKUP($A253,Lookups!$M$2:$N$39,2,FALSE),'Report - Financial Ratios'!$A$2:$A$40,0),MATCH('Report Actual'!F$220,'Report - Financial Ratios'!$B$1:$D$1,0)),"")</f>
        <v/>
      </c>
      <c r="G253" s="59"/>
      <c r="H253" s="59"/>
    </row>
    <row r="254" spans="1:8" ht="15.75" customHeight="1" outlineLevel="1" collapsed="1" x14ac:dyDescent="0.3">
      <c r="A254" s="34" t="s">
        <v>184</v>
      </c>
      <c r="B254" s="92">
        <f>IFERROR(INDEX('Report - Financial Ratios'!$B$2:$D$40,MATCH(VLOOKUP($A254,Lookups!$M$2:$N$39,2,FALSE),'Report - Financial Ratios'!$A$2:$A$40,0),MATCH('Report Actual'!B$220,'Report - Financial Ratios'!$B$1:$D$1,0)),"")</f>
        <v>19.728308284229414</v>
      </c>
      <c r="C254" s="76" t="s">
        <v>36</v>
      </c>
      <c r="D254" s="93">
        <f>IFERROR(INDEX('Report - Financial Ratios'!$B$2:$D$40,MATCH(VLOOKUP($A254,Lookups!$M$2:$N$39,2,FALSE),'Report - Financial Ratios'!$A$2:$A$40,0),MATCH('Report Actual'!D$220,'Report - Financial Ratios'!$B$1:$D$1,0)),"")</f>
        <v>81.465441386859595</v>
      </c>
      <c r="E254" s="36" t="s">
        <v>36</v>
      </c>
      <c r="F254" s="93" t="str">
        <f>IFERROR(INDEX('Report - Financial Ratios'!$B$2:$D$40,MATCH(VLOOKUP($A254,Lookups!$M$2:$N$39,2,FALSE),'Report - Financial Ratios'!$A$2:$A$40,0),MATCH('Report Actual'!F$220,'Report - Financial Ratios'!$B$1:$D$1,0)),"")</f>
        <v/>
      </c>
    </row>
    <row r="255" spans="1:8" ht="15.75" customHeight="1" outlineLevel="1" collapsed="1" x14ac:dyDescent="0.3">
      <c r="A255" s="34" t="s">
        <v>187</v>
      </c>
      <c r="B255" s="92">
        <f>IFERROR(INDEX('Report - Financial Ratios'!$B$2:$D$40,MATCH(VLOOKUP($A255,Lookups!$M$2:$N$39,2,FALSE),'Report - Financial Ratios'!$A$2:$A$40,0),MATCH('Report Actual'!B$220,'Report - Financial Ratios'!$B$1:$D$1,0)),"")</f>
        <v>28.337471425012133</v>
      </c>
      <c r="C255" s="76" t="s">
        <v>36</v>
      </c>
      <c r="D255" s="93">
        <f>IFERROR(INDEX('Report - Financial Ratios'!$B$2:$D$40,MATCH(VLOOKUP($A255,Lookups!$M$2:$N$39,2,FALSE),'Report - Financial Ratios'!$A$2:$A$40,0),MATCH('Report Actual'!D$220,'Report - Financial Ratios'!$B$1:$D$1,0)),"")</f>
        <v>0.18045867502943702</v>
      </c>
      <c r="E255" s="36" t="s">
        <v>36</v>
      </c>
      <c r="F255" s="93" t="str">
        <f>IFERROR(INDEX('Report - Financial Ratios'!$B$2:$D$40,MATCH(VLOOKUP($A255,Lookups!$M$2:$N$39,2,FALSE),'Report - Financial Ratios'!$A$2:$A$40,0),MATCH('Report Actual'!F$220,'Report - Financial Ratios'!$B$1:$D$1,0)),"")</f>
        <v/>
      </c>
    </row>
    <row r="256" spans="1:8" ht="15.75" customHeight="1" outlineLevel="1" collapsed="1" x14ac:dyDescent="0.3">
      <c r="A256" s="34" t="s">
        <v>208</v>
      </c>
      <c r="B256" s="92">
        <f>IFERROR(INDEX('Report - Financial Ratios'!$B$2:$D$40,MATCH(VLOOKUP($A256,Lookups!$M$2:$N$39,2,FALSE),'Report - Financial Ratios'!$A$2:$A$40,0),MATCH('Report Actual'!B$220,'Report - Financial Ratios'!$B$1:$D$1,0)),"")</f>
        <v>-8.6091631407827194</v>
      </c>
      <c r="C256" s="76" t="s">
        <v>36</v>
      </c>
      <c r="D256" s="93">
        <f>IFERROR(INDEX('Report - Financial Ratios'!$B$2:$D$40,MATCH(VLOOKUP($A256,Lookups!$M$2:$N$39,2,FALSE),'Report - Financial Ratios'!$A$2:$A$40,0),MATCH('Report Actual'!D$220,'Report - Financial Ratios'!$B$1:$D$1,0)),"")</f>
        <v>81.284982711830153</v>
      </c>
      <c r="E256" s="36" t="s">
        <v>36</v>
      </c>
      <c r="F256" s="93" t="str">
        <f>IFERROR(INDEX('Report - Financial Ratios'!$B$2:$D$40,MATCH(VLOOKUP($A256,Lookups!$M$2:$N$39,2,FALSE),'Report - Financial Ratios'!$A$2:$A$40,0),MATCH('Report Actual'!F$220,'Report - Financial Ratios'!$B$1:$D$1,0)),"")</f>
        <v/>
      </c>
    </row>
    <row r="257" spans="1:8" s="16" customFormat="1" ht="15.75" customHeight="1" outlineLevel="1" collapsed="1" x14ac:dyDescent="0.3">
      <c r="A257" s="28" t="s">
        <v>209</v>
      </c>
      <c r="B257" s="80"/>
      <c r="C257" s="70"/>
      <c r="D257" s="80"/>
      <c r="E257" s="70"/>
      <c r="F257" s="80"/>
      <c r="G257" s="55"/>
      <c r="H257" s="57"/>
    </row>
    <row r="258" spans="1:8" ht="15.75" customHeight="1" outlineLevel="1" collapsed="1" x14ac:dyDescent="0.3">
      <c r="A258" s="34" t="s">
        <v>210</v>
      </c>
      <c r="B258" s="91">
        <f>IFERROR(INDEX('Report - Financial Ratios'!$B$2:$D$40,MATCH(VLOOKUP($A258,Lookups!$M$2:$N$39,2,FALSE),'Report - Financial Ratios'!$A$2:$A$40,0),MATCH('Report Actual'!B$220,'Report - Financial Ratios'!$B$1:$D$1,0)),"")</f>
        <v>0.25914608418845136</v>
      </c>
      <c r="C258" s="45" t="s">
        <v>36</v>
      </c>
      <c r="D258" s="91">
        <f>IFERROR(INDEX('Report - Financial Ratios'!$B$2:$D$40,MATCH(VLOOKUP($A258,Lookups!$M$2:$N$39,2,FALSE),'Report - Financial Ratios'!$A$2:$A$40,0),MATCH('Report Actual'!D$220,'Report - Financial Ratios'!$B$1:$D$1,0)),"")</f>
        <v>0.22133059209111478</v>
      </c>
      <c r="E258" s="58" t="s">
        <v>36</v>
      </c>
      <c r="F258" s="91" t="str">
        <f>IFERROR(INDEX('Report - Financial Ratios'!$B$2:$D$40,MATCH(VLOOKUP($A258,Lookups!$M$2:$N$39,2,FALSE),'Report - Financial Ratios'!$A$2:$A$40,0),MATCH('Report Actual'!F$220,'Report - Financial Ratios'!$B$1:$D$1,0)),"")</f>
        <v/>
      </c>
      <c r="G258" s="59"/>
      <c r="H258" s="59"/>
    </row>
    <row r="259" spans="1:8" ht="15.75" customHeight="1" outlineLevel="1" collapsed="1" x14ac:dyDescent="0.3">
      <c r="A259" s="34" t="s">
        <v>211</v>
      </c>
      <c r="B259" s="91">
        <f>IFERROR(INDEX('Report - Financial Ratios'!$B$2:$D$40,MATCH(VLOOKUP($A259,Lookups!$M$2:$N$39,2,FALSE),'Report - Financial Ratios'!$A$2:$A$40,0),MATCH('Report Actual'!B$220,'Report - Financial Ratios'!$B$1:$D$1,0)),"")</f>
        <v>0.10319558146864459</v>
      </c>
      <c r="C259" s="45" t="s">
        <v>36</v>
      </c>
      <c r="D259" s="91">
        <f>IFERROR(INDEX('Report - Financial Ratios'!$B$2:$D$40,MATCH(VLOOKUP($A259,Lookups!$M$2:$N$39,2,FALSE),'Report - Financial Ratios'!$A$2:$A$40,0),MATCH('Report Actual'!D$220,'Report - Financial Ratios'!$B$1:$D$1,0)),"")</f>
        <v>-4.2032877702173781E-2</v>
      </c>
      <c r="E259" s="58" t="s">
        <v>36</v>
      </c>
      <c r="F259" s="91" t="str">
        <f>IFERROR(INDEX('Report - Financial Ratios'!$B$2:$D$40,MATCH(VLOOKUP($A259,Lookups!$M$2:$N$39,2,FALSE),'Report - Financial Ratios'!$A$2:$A$40,0),MATCH('Report Actual'!F$220,'Report - Financial Ratios'!$B$1:$D$1,0)),"")</f>
        <v/>
      </c>
      <c r="G259" s="59"/>
      <c r="H259" s="59"/>
    </row>
    <row r="260" spans="1:8" ht="15.75" customHeight="1" outlineLevel="1" collapsed="1" x14ac:dyDescent="0.3">
      <c r="A260" s="34" t="s">
        <v>212</v>
      </c>
      <c r="B260" s="91">
        <f>IFERROR(INDEX('Report - Financial Ratios'!$B$2:$D$40,MATCH(VLOOKUP($A260,Lookups!$M$2:$N$39,2,FALSE),'Report - Financial Ratios'!$A$2:$A$40,0),MATCH('Report Actual'!B$220,'Report - Financial Ratios'!$B$1:$D$1,0)),"")</f>
        <v>0.1524933612021272</v>
      </c>
      <c r="C260" s="45" t="s">
        <v>36</v>
      </c>
      <c r="D260" s="91">
        <f>IFERROR(INDEX('Report - Financial Ratios'!$B$2:$D$40,MATCH(VLOOKUP($A260,Lookups!$M$2:$N$39,2,FALSE),'Report - Financial Ratios'!$A$2:$A$40,0),MATCH('Report Actual'!D$220,'Report - Financial Ratios'!$B$1:$D$1,0)),"")</f>
        <v>-6.4393156070159746E-2</v>
      </c>
      <c r="E260" s="58" t="s">
        <v>36</v>
      </c>
      <c r="F260" s="91" t="str">
        <f>IFERROR(INDEX('Report - Financial Ratios'!$B$2:$D$40,MATCH(VLOOKUP($A260,Lookups!$M$2:$N$39,2,FALSE),'Report - Financial Ratios'!$A$2:$A$40,0),MATCH('Report Actual'!F$220,'Report - Financial Ratios'!$B$1:$D$1,0)),"")</f>
        <v/>
      </c>
      <c r="G260" s="59"/>
      <c r="H260" s="59"/>
    </row>
    <row r="261" spans="1:8" ht="15.75" customHeight="1" outlineLevel="1" collapsed="1" x14ac:dyDescent="0.3">
      <c r="A261" s="37" t="s">
        <v>213</v>
      </c>
      <c r="B261" s="85">
        <f>IFERROR(INDEX('Report - Financial Ratios'!$B$2:$D$40,MATCH(VLOOKUP($A261,Lookups!$M$2:$N$40,2,FALSE),'Report - Financial Ratios'!$A$2:$A$40,0),MATCH('Report Actual'!B$220,'Report - Financial Ratios'!$B$1:$D$1,0)),"")</f>
        <v>1.9574872558136469</v>
      </c>
      <c r="C261" s="104" t="s">
        <v>36</v>
      </c>
      <c r="D261" s="85">
        <f>IFERROR(INDEX('Report - Financial Ratios'!$B$2:$D$40,MATCH(VLOOKUP($A261,Lookups!$M$2:$N$40,2,FALSE),'Report - Financial Ratios'!$A$2:$A$40,0),MATCH('Report Actual'!D$220,'Report - Financial Ratios'!$B$1:$D$1,0)),"")</f>
        <v>149.11105085095943</v>
      </c>
      <c r="E261" s="104" t="s">
        <v>36</v>
      </c>
      <c r="F261" s="107" t="str">
        <f>IFERROR(INDEX('Report - Financial Ratios'!$B$2:$D$40,MATCH(VLOOKUP($A261,Lookups!$M$2:$N$40,2,FALSE),'Report - Financial Ratios'!$A$2:$A$40,0),MATCH('Report Actual'!F$220,'Report - Financial Ratios'!$B$1:$D$1,0)),"")</f>
        <v/>
      </c>
      <c r="G261" s="18"/>
      <c r="H261" s="18"/>
    </row>
    <row r="262" spans="1:8" ht="15.75" customHeight="1" outlineLevel="1" collapsed="1" x14ac:dyDescent="0.3">
      <c r="A262" s="13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60" fitToHeight="0" orientation="landscape" useFirstPageNumber="1" horizontalDpi="1200" verticalDpi="120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18" id="{9CB4AD85-EAA3-4297-B1DC-1AD2E6C57543}">
            <x14:iconSet iconSet="3Flags" custom="1">
              <x14:cfvo type="percent">
                <xm:f>0</xm:f>
              </x14:cfvo>
              <x14:cfvo type="formula">
                <xm:f>$D$50-0.001</xm:f>
              </x14:cfvo>
              <x14:cfvo type="formula" gte="0">
                <xm:f>$D$50</xm:f>
              </x14:cfvo>
              <x14:cfIcon iconSet="3Flags" iconId="0"/>
              <x14:cfIcon iconSet="NoIcons" iconId="0"/>
              <x14:cfIcon iconSet="3Flags" iconId="2"/>
            </x14:iconSet>
          </x14:cfRule>
          <xm:sqref>B50:B52</xm:sqref>
        </x14:conditionalFormatting>
        <x14:conditionalFormatting xmlns:xm="http://schemas.microsoft.com/office/excel/2006/main">
          <x14:cfRule type="iconSet" priority="212" id="{EDD7F986-DBBE-4972-B8AB-EF479FF297BF}">
            <x14:iconSet iconSet="3Flags" custom="1">
              <x14:cfvo type="percent">
                <xm:f>0</xm:f>
              </x14:cfvo>
              <x14:cfvo type="formula">
                <xm:f>$D$54-0.001</xm:f>
              </x14:cfvo>
              <x14:cfvo type="formula" gte="0">
                <xm:f>$D$54</xm:f>
              </x14:cfvo>
              <x14:cfIcon iconSet="3Flags" iconId="0"/>
              <x14:cfIcon iconSet="NoIcons" iconId="0"/>
              <x14:cfIcon iconSet="3Flags" iconId="2"/>
            </x14:iconSet>
          </x14:cfRule>
          <xm:sqref>B54</xm:sqref>
        </x14:conditionalFormatting>
        <x14:conditionalFormatting xmlns:xm="http://schemas.microsoft.com/office/excel/2006/main">
          <x14:cfRule type="iconSet" priority="210" id="{35D1F0BC-F62F-4924-BB1A-DB9968392C52}">
            <x14:iconSet iconSet="3Flags" custom="1">
              <x14:cfvo type="percent">
                <xm:f>0</xm:f>
              </x14:cfvo>
              <x14:cfvo type="formula">
                <xm:f>$D$55-0.001</xm:f>
              </x14:cfvo>
              <x14:cfvo type="formula" gte="0">
                <xm:f>$D$55</xm:f>
              </x14:cfvo>
              <x14:cfIcon iconSet="3Flags" iconId="0"/>
              <x14:cfIcon iconSet="NoIcons" iconId="0"/>
              <x14:cfIcon iconSet="3Flags" iconId="2"/>
            </x14:iconSet>
          </x14:cfRule>
          <xm:sqref>B55</xm:sqref>
        </x14:conditionalFormatting>
        <x14:conditionalFormatting xmlns:xm="http://schemas.microsoft.com/office/excel/2006/main">
          <x14:cfRule type="iconSet" priority="206" id="{E4876376-5F9F-412A-A569-D9AF717AF5CC}">
            <x14:iconSet iconSet="3Flags" custom="1">
              <x14:cfvo type="percent">
                <xm:f>0</xm:f>
              </x14:cfvo>
              <x14:cfvo type="formula">
                <xm:f>$D$56-0.001</xm:f>
              </x14:cfvo>
              <x14:cfvo type="formula" gte="0">
                <xm:f>$D$56</xm:f>
              </x14:cfvo>
              <x14:cfIcon iconSet="3Flags" iconId="0"/>
              <x14:cfIcon iconSet="NoIcons" iconId="0"/>
              <x14:cfIcon iconSet="3Flags" iconId="2"/>
            </x14:iconSet>
          </x14:cfRule>
          <xm:sqref>B56</xm:sqref>
        </x14:conditionalFormatting>
        <x14:conditionalFormatting xmlns:xm="http://schemas.microsoft.com/office/excel/2006/main">
          <x14:cfRule type="iconSet" priority="205" id="{3FF421E9-0B6C-42CA-8FAC-2C9D47E52DCF}">
            <x14:iconSet iconSet="3Flags" custom="1">
              <x14:cfvo type="percent">
                <xm:f>0</xm:f>
              </x14:cfvo>
              <x14:cfvo type="formula">
                <xm:f>$D$57-0.001</xm:f>
              </x14:cfvo>
              <x14:cfvo type="formula" gte="0">
                <xm:f>$D$57</xm:f>
              </x14:cfvo>
              <x14:cfIcon iconSet="3Flags" iconId="0"/>
              <x14:cfIcon iconSet="NoIcons" iconId="0"/>
              <x14:cfIcon iconSet="3Flags" iconId="2"/>
            </x14:iconSet>
          </x14:cfRule>
          <xm:sqref>B57</xm:sqref>
        </x14:conditionalFormatting>
        <x14:conditionalFormatting xmlns:xm="http://schemas.microsoft.com/office/excel/2006/main">
          <x14:cfRule type="iconSet" priority="203" id="{CDBCC41E-3CB1-43B2-ABDD-33EBFF483BFA}">
            <x14:iconSet iconSet="3Flags" custom="1">
              <x14:cfvo type="percent">
                <xm:f>0</xm:f>
              </x14:cfvo>
              <x14:cfvo type="formula">
                <xm:f>$D$64-0.001%</xm:f>
              </x14:cfvo>
              <x14:cfvo type="formula" gte="0">
                <xm:f>$D$64</xm:f>
              </x14:cfvo>
              <x14:cfIcon iconSet="3Flags" iconId="0"/>
              <x14:cfIcon iconSet="NoIcons" iconId="0"/>
              <x14:cfIcon iconSet="3Flags" iconId="2"/>
            </x14:iconSet>
          </x14:cfRule>
          <xm:sqref>B64</xm:sqref>
        </x14:conditionalFormatting>
        <x14:conditionalFormatting xmlns:xm="http://schemas.microsoft.com/office/excel/2006/main">
          <x14:cfRule type="iconSet" priority="202" id="{C807A5AE-A1AF-4C63-B9DA-E92565C26E25}">
            <x14:iconSet iconSet="3Flags" custom="1">
              <x14:cfvo type="percent">
                <xm:f>0</xm:f>
              </x14:cfvo>
              <x14:cfvo type="formula">
                <xm:f>$D$65-0.001%</xm:f>
              </x14:cfvo>
              <x14:cfvo type="formula" gte="0">
                <xm:f>$D$65</xm:f>
              </x14:cfvo>
              <x14:cfIcon iconSet="3Flags" iconId="0"/>
              <x14:cfIcon iconSet="NoIcons" iconId="0"/>
              <x14:cfIcon iconSet="3Flags" iconId="2"/>
            </x14:iconSet>
          </x14:cfRule>
          <xm:sqref>B65</xm:sqref>
        </x14:conditionalFormatting>
        <x14:conditionalFormatting xmlns:xm="http://schemas.microsoft.com/office/excel/2006/main">
          <x14:cfRule type="iconSet" priority="201" id="{E4723C3A-E173-4380-929A-E819A699F0C4}">
            <x14:iconSet iconSet="3Flags" custom="1">
              <x14:cfvo type="percent">
                <xm:f>0</xm:f>
              </x14:cfvo>
              <x14:cfvo type="formula">
                <xm:f>$D$67-0.001%</xm:f>
              </x14:cfvo>
              <x14:cfvo type="formula" gte="0">
                <xm:f>$D$67</xm:f>
              </x14:cfvo>
              <x14:cfIcon iconSet="3Flags" iconId="0"/>
              <x14:cfIcon iconSet="NoIcons" iconId="0"/>
              <x14:cfIcon iconSet="3Flags" iconId="2"/>
            </x14:iconSet>
          </x14:cfRule>
          <xm:sqref>B67</xm:sqref>
        </x14:conditionalFormatting>
        <x14:conditionalFormatting xmlns:xm="http://schemas.microsoft.com/office/excel/2006/main">
          <x14:cfRule type="iconSet" priority="197" id="{86C1DBBC-AC8D-4E81-8F6B-7901F72FF73D}">
            <x14:iconSet iconSet="3Flags" custom="1">
              <x14:cfvo type="percent">
                <xm:f>0</xm:f>
              </x14:cfvo>
              <x14:cfvo type="formula">
                <xm:f>$D$72-0.001%</xm:f>
              </x14:cfvo>
              <x14:cfvo type="formula" gte="0">
                <xm:f>$D$72</xm:f>
              </x14:cfvo>
              <x14:cfIcon iconSet="3Flags" iconId="0"/>
              <x14:cfIcon iconSet="NoIcons" iconId="0"/>
              <x14:cfIcon iconSet="3Flags" iconId="2"/>
            </x14:iconSet>
          </x14:cfRule>
          <xm:sqref>B72</xm:sqref>
        </x14:conditionalFormatting>
        <x14:conditionalFormatting xmlns:xm="http://schemas.microsoft.com/office/excel/2006/main">
          <x14:cfRule type="iconSet" priority="196" id="{8DB917F6-E63E-4D28-8DB1-03BE881F51B4}">
            <x14:iconSet iconSet="3Flags" custom="1">
              <x14:cfvo type="percent">
                <xm:f>0</xm:f>
              </x14:cfvo>
              <x14:cfvo type="formula">
                <xm:f>$D$74-0.001%</xm:f>
              </x14:cfvo>
              <x14:cfvo type="formula" gte="0">
                <xm:f>$D$74</xm:f>
              </x14:cfvo>
              <x14:cfIcon iconSet="3Flags" iconId="0"/>
              <x14:cfIcon iconSet="NoIcons" iconId="0"/>
              <x14:cfIcon iconSet="3Flags" iconId="2"/>
            </x14:iconSet>
          </x14:cfRule>
          <xm:sqref>B74</xm:sqref>
        </x14:conditionalFormatting>
        <x14:conditionalFormatting xmlns:xm="http://schemas.microsoft.com/office/excel/2006/main">
          <x14:cfRule type="iconSet" priority="193" id="{58A9B16E-AAB7-46D4-909C-3DFE74813F08}">
            <x14:iconSet iconSet="3Flags" custom="1">
              <x14:cfvo type="percent">
                <xm:f>0</xm:f>
              </x14:cfvo>
              <x14:cfvo type="formula">
                <xm:f>$D$75-0.001%</xm:f>
              </x14:cfvo>
              <x14:cfvo type="formula" gte="0">
                <xm:f>$D$75</xm:f>
              </x14:cfvo>
              <x14:cfIcon iconSet="3Flags" iconId="0"/>
              <x14:cfIcon iconSet="NoIcons" iconId="0"/>
              <x14:cfIcon iconSet="3Flags" iconId="2"/>
            </x14:iconSet>
          </x14:cfRule>
          <xm:sqref>B75</xm:sqref>
        </x14:conditionalFormatting>
        <x14:conditionalFormatting xmlns:xm="http://schemas.microsoft.com/office/excel/2006/main">
          <x14:cfRule type="iconSet" priority="192" id="{8742FED5-95C0-40EC-BE55-4C3DA7281C76}">
            <x14:iconSet iconSet="3Flags" custom="1">
              <x14:cfvo type="percent">
                <xm:f>0</xm:f>
              </x14:cfvo>
              <x14:cfvo type="formula">
                <xm:f>$D$76-0.001%</xm:f>
              </x14:cfvo>
              <x14:cfvo type="formula" gte="0">
                <xm:f>$D$76</xm:f>
              </x14:cfvo>
              <x14:cfIcon iconSet="3Flags" iconId="0"/>
              <x14:cfIcon iconSet="NoIcons" iconId="0"/>
              <x14:cfIcon iconSet="3Flags" iconId="2"/>
            </x14:iconSet>
          </x14:cfRule>
          <xm:sqref>B76</xm:sqref>
        </x14:conditionalFormatting>
        <x14:conditionalFormatting xmlns:xm="http://schemas.microsoft.com/office/excel/2006/main">
          <x14:cfRule type="iconSet" priority="194" id="{226AC30D-EC2E-4BB7-9DD8-4F61F7ACB967}">
            <x14:iconSet iconSet="3Flags" custom="1">
              <x14:cfvo type="percent">
                <xm:f>0</xm:f>
              </x14:cfvo>
              <x14:cfvo type="formula">
                <xm:f>$D$77-0.001</xm:f>
              </x14:cfvo>
              <x14:cfvo type="formula" gte="0">
                <xm:f>$D$77</xm:f>
              </x14:cfvo>
              <x14:cfIcon iconSet="3Flags" iconId="0"/>
              <x14:cfIcon iconSet="NoIcons" iconId="0"/>
              <x14:cfIcon iconSet="3Flags" iconId="2"/>
            </x14:iconSet>
          </x14:cfRule>
          <xm:sqref>B77</xm:sqref>
        </x14:conditionalFormatting>
        <x14:conditionalFormatting xmlns:xm="http://schemas.microsoft.com/office/excel/2006/main">
          <x14:cfRule type="iconSet" priority="191" id="{0776E789-E128-4FAA-A8BB-288325B63792}">
            <x14:iconSet iconSet="3Flags" custom="1">
              <x14:cfvo type="percent">
                <xm:f>0</xm:f>
              </x14:cfvo>
              <x14:cfvo type="formula">
                <xm:f>$D$79-0.001%</xm:f>
              </x14:cfvo>
              <x14:cfvo type="formula" gte="0">
                <xm:f>$D$79</xm:f>
              </x14:cfvo>
              <x14:cfIcon iconSet="3Flags" iconId="2"/>
              <x14:cfIcon iconSet="NoIcons" iconId="0"/>
              <x14:cfIcon iconSet="3Flags" iconId="0"/>
            </x14:iconSet>
          </x14:cfRule>
          <xm:sqref>B79</xm:sqref>
        </x14:conditionalFormatting>
        <x14:conditionalFormatting xmlns:xm="http://schemas.microsoft.com/office/excel/2006/main">
          <x14:cfRule type="iconSet" priority="190" id="{EE19A630-3339-44C0-B0CC-98EBE4AD2C73}">
            <x14:iconSet iconSet="3Flags" custom="1">
              <x14:cfvo type="percent">
                <xm:f>0</xm:f>
              </x14:cfvo>
              <x14:cfvo type="formula">
                <xm:f>$D$80-0.001%</xm:f>
              </x14:cfvo>
              <x14:cfvo type="formula" gte="0">
                <xm:f>$D$80</xm:f>
              </x14:cfvo>
              <x14:cfIcon iconSet="3Flags" iconId="0"/>
              <x14:cfIcon iconSet="NoIcons" iconId="0"/>
              <x14:cfIcon iconSet="3Flags" iconId="2"/>
            </x14:iconSet>
          </x14:cfRule>
          <xm:sqref>B80</xm:sqref>
        </x14:conditionalFormatting>
        <x14:conditionalFormatting xmlns:xm="http://schemas.microsoft.com/office/excel/2006/main">
          <x14:cfRule type="iconSet" priority="189" id="{4587E8D4-DDAF-43F2-9282-3C8E32D2510A}">
            <x14:iconSet iconSet="3Flags" custom="1">
              <x14:cfvo type="percent">
                <xm:f>0</xm:f>
              </x14:cfvo>
              <x14:cfvo type="formula">
                <xm:f>$D$81-0.001%</xm:f>
              </x14:cfvo>
              <x14:cfvo type="formula" gte="0">
                <xm:f>$D$81</xm:f>
              </x14:cfvo>
              <x14:cfIcon iconSet="3Flags" iconId="0"/>
              <x14:cfIcon iconSet="NoIcons" iconId="0"/>
              <x14:cfIcon iconSet="3Flags" iconId="2"/>
            </x14:iconSet>
          </x14:cfRule>
          <xm:sqref>B81</xm:sqref>
        </x14:conditionalFormatting>
        <x14:conditionalFormatting xmlns:xm="http://schemas.microsoft.com/office/excel/2006/main">
          <x14:cfRule type="iconSet" priority="181" id="{0968BEDF-B2F4-4FE1-82B0-3367058AE7A0}">
            <x14:iconSet iconSet="3Flags" custom="1">
              <x14:cfvo type="percent">
                <xm:f>0</xm:f>
              </x14:cfvo>
              <x14:cfvo type="formula">
                <xm:f>$D$83-0.001</xm:f>
              </x14:cfvo>
              <x14:cfvo type="formula" gte="0">
                <xm:f>$D$83</xm:f>
              </x14:cfvo>
              <x14:cfIcon iconSet="3Flags" iconId="2"/>
              <x14:cfIcon iconSet="NoIcons" iconId="0"/>
              <x14:cfIcon iconSet="3Flags" iconId="0"/>
            </x14:iconSet>
          </x14:cfRule>
          <xm:sqref>B83</xm:sqref>
        </x14:conditionalFormatting>
        <x14:conditionalFormatting xmlns:xm="http://schemas.microsoft.com/office/excel/2006/main">
          <x14:cfRule type="iconSet" priority="180" id="{4155DF75-8865-47F5-A0C4-D2D31D64560C}">
            <x14:iconSet iconSet="3Flags" custom="1">
              <x14:cfvo type="percent">
                <xm:f>0</xm:f>
              </x14:cfvo>
              <x14:cfvo type="formula">
                <xm:f>$D$84-0.001</xm:f>
              </x14:cfvo>
              <x14:cfvo type="formula" gte="0">
                <xm:f>$D$84</xm:f>
              </x14:cfvo>
              <x14:cfIcon iconSet="3Flags" iconId="2"/>
              <x14:cfIcon iconSet="NoIcons" iconId="0"/>
              <x14:cfIcon iconSet="3Flags" iconId="0"/>
            </x14:iconSet>
          </x14:cfRule>
          <xm:sqref>B84</xm:sqref>
        </x14:conditionalFormatting>
        <x14:conditionalFormatting xmlns:xm="http://schemas.microsoft.com/office/excel/2006/main">
          <x14:cfRule type="iconSet" priority="179" id="{FE4883F7-C056-4EAD-9E8F-EB534B4DC11F}">
            <x14:iconSet iconSet="3Flags" custom="1">
              <x14:cfvo type="percent">
                <xm:f>0</xm:f>
              </x14:cfvo>
              <x14:cfvo type="formula">
                <xm:f>$D$85-0.001</xm:f>
              </x14:cfvo>
              <x14:cfvo type="formula" gte="0">
                <xm:f>$D$85</xm:f>
              </x14:cfvo>
              <x14:cfIcon iconSet="3Flags" iconId="2"/>
              <x14:cfIcon iconSet="NoIcons" iconId="0"/>
              <x14:cfIcon iconSet="3Flags" iconId="0"/>
            </x14:iconSet>
          </x14:cfRule>
          <xm:sqref>B85</xm:sqref>
        </x14:conditionalFormatting>
        <x14:conditionalFormatting xmlns:xm="http://schemas.microsoft.com/office/excel/2006/main">
          <x14:cfRule type="iconSet" priority="178" id="{AD07466F-BD2C-4154-BB49-80B244AC9117}">
            <x14:iconSet iconSet="3Flags" custom="1">
              <x14:cfvo type="percent">
                <xm:f>0</xm:f>
              </x14:cfvo>
              <x14:cfvo type="formula">
                <xm:f>$D$86-0.001</xm:f>
              </x14:cfvo>
              <x14:cfvo type="formula" gte="0">
                <xm:f>$D$86</xm:f>
              </x14:cfvo>
              <x14:cfIcon iconSet="3Flags" iconId="2"/>
              <x14:cfIcon iconSet="NoIcons" iconId="0"/>
              <x14:cfIcon iconSet="3Flags" iconId="0"/>
            </x14:iconSet>
          </x14:cfRule>
          <xm:sqref>B86</xm:sqref>
        </x14:conditionalFormatting>
        <x14:conditionalFormatting xmlns:xm="http://schemas.microsoft.com/office/excel/2006/main">
          <x14:cfRule type="iconSet" priority="177" id="{813CAB1A-E09D-4DEB-B0CD-6379AAFCD757}">
            <x14:iconSet iconSet="3Flags" custom="1">
              <x14:cfvo type="percent">
                <xm:f>0</xm:f>
              </x14:cfvo>
              <x14:cfvo type="formula">
                <xm:f>$D$87-0.001</xm:f>
              </x14:cfvo>
              <x14:cfvo type="formula" gte="0">
                <xm:f>$D$87</xm:f>
              </x14:cfvo>
              <x14:cfIcon iconSet="3Flags" iconId="2"/>
              <x14:cfIcon iconSet="NoIcons" iconId="0"/>
              <x14:cfIcon iconSet="3Flags" iconId="0"/>
            </x14:iconSet>
          </x14:cfRule>
          <xm:sqref>B87</xm:sqref>
        </x14:conditionalFormatting>
        <x14:conditionalFormatting xmlns:xm="http://schemas.microsoft.com/office/excel/2006/main">
          <x14:cfRule type="iconSet" priority="176" id="{7DF95C56-C299-4015-9D89-DD854A859D20}">
            <x14:iconSet iconSet="3Flags" custom="1">
              <x14:cfvo type="percent">
                <xm:f>0</xm:f>
              </x14:cfvo>
              <x14:cfvo type="formula">
                <xm:f>$D$88-0.001</xm:f>
              </x14:cfvo>
              <x14:cfvo type="formula" gte="0">
                <xm:f>$D$88</xm:f>
              </x14:cfvo>
              <x14:cfIcon iconSet="3Flags" iconId="2"/>
              <x14:cfIcon iconSet="NoIcons" iconId="0"/>
              <x14:cfIcon iconSet="3Flags" iconId="0"/>
            </x14:iconSet>
          </x14:cfRule>
          <xm:sqref>B88</xm:sqref>
        </x14:conditionalFormatting>
        <x14:conditionalFormatting xmlns:xm="http://schemas.microsoft.com/office/excel/2006/main">
          <x14:cfRule type="iconSet" priority="175" id="{41041145-68A1-407B-AB81-2263C88E2195}">
            <x14:iconSet iconSet="3Flags" custom="1">
              <x14:cfvo type="percent">
                <xm:f>0</xm:f>
              </x14:cfvo>
              <x14:cfvo type="formula">
                <xm:f>$D$89-0.001</xm:f>
              </x14:cfvo>
              <x14:cfvo type="formula" gte="0">
                <xm:f>$D$89</xm:f>
              </x14:cfvo>
              <x14:cfIcon iconSet="3Flags" iconId="2"/>
              <x14:cfIcon iconSet="NoIcons" iconId="0"/>
              <x14:cfIcon iconSet="3Flags" iconId="0"/>
            </x14:iconSet>
          </x14:cfRule>
          <xm:sqref>B89</xm:sqref>
        </x14:conditionalFormatting>
        <x14:conditionalFormatting xmlns:xm="http://schemas.microsoft.com/office/excel/2006/main">
          <x14:cfRule type="iconSet" priority="174" id="{543E09B9-6018-4DE9-A828-D1BA4BA81FFD}">
            <x14:iconSet iconSet="3Flags" custom="1">
              <x14:cfvo type="percent">
                <xm:f>0</xm:f>
              </x14:cfvo>
              <x14:cfvo type="formula">
                <xm:f>$D$90-0.001</xm:f>
              </x14:cfvo>
              <x14:cfvo type="formula" gte="0">
                <xm:f>$D$90</xm:f>
              </x14:cfvo>
              <x14:cfIcon iconSet="3Flags" iconId="2"/>
              <x14:cfIcon iconSet="NoIcons" iconId="0"/>
              <x14:cfIcon iconSet="3Flags" iconId="0"/>
            </x14:iconSet>
          </x14:cfRule>
          <xm:sqref>B90</xm:sqref>
        </x14:conditionalFormatting>
        <x14:conditionalFormatting xmlns:xm="http://schemas.microsoft.com/office/excel/2006/main">
          <x14:cfRule type="iconSet" priority="173" id="{1927534C-387A-4C61-9FDC-0600823CE818}">
            <x14:iconSet iconSet="3Flags" custom="1">
              <x14:cfvo type="percent">
                <xm:f>0</xm:f>
              </x14:cfvo>
              <x14:cfvo type="formula">
                <xm:f>$D$91-0.001</xm:f>
              </x14:cfvo>
              <x14:cfvo type="formula" gte="0">
                <xm:f>$D$91</xm:f>
              </x14:cfvo>
              <x14:cfIcon iconSet="3Flags" iconId="2"/>
              <x14:cfIcon iconSet="NoIcons" iconId="0"/>
              <x14:cfIcon iconSet="3Flags" iconId="0"/>
            </x14:iconSet>
          </x14:cfRule>
          <xm:sqref>B91</xm:sqref>
        </x14:conditionalFormatting>
        <x14:conditionalFormatting xmlns:xm="http://schemas.microsoft.com/office/excel/2006/main">
          <x14:cfRule type="iconSet" priority="172" id="{76CCAF8E-0461-4FC6-AAB1-7CE06FD1416D}">
            <x14:iconSet iconSet="3Flags" custom="1">
              <x14:cfvo type="percent">
                <xm:f>0</xm:f>
              </x14:cfvo>
              <x14:cfvo type="formula">
                <xm:f>$D$92-0.001</xm:f>
              </x14:cfvo>
              <x14:cfvo type="formula" gte="0">
                <xm:f>$D$92</xm:f>
              </x14:cfvo>
              <x14:cfIcon iconSet="3Flags" iconId="2"/>
              <x14:cfIcon iconSet="NoIcons" iconId="0"/>
              <x14:cfIcon iconSet="3Flags" iconId="0"/>
            </x14:iconSet>
          </x14:cfRule>
          <xm:sqref>B92</xm:sqref>
        </x14:conditionalFormatting>
        <x14:conditionalFormatting xmlns:xm="http://schemas.microsoft.com/office/excel/2006/main">
          <x14:cfRule type="iconSet" priority="161" id="{5A46AB6F-0531-438C-8045-AD15484E2173}">
            <x14:iconSet iconSet="3Flags" custom="1">
              <x14:cfvo type="percent">
                <xm:f>0</xm:f>
              </x14:cfvo>
              <x14:cfvo type="formula">
                <xm:f>$D$115-0.001</xm:f>
              </x14:cfvo>
              <x14:cfvo type="formula" gte="0">
                <xm:f>$D$115</xm:f>
              </x14:cfvo>
              <x14:cfIcon iconSet="3Flags" iconId="0"/>
              <x14:cfIcon iconSet="NoIcons" iconId="0"/>
              <x14:cfIcon iconSet="3Flags" iconId="2"/>
            </x14:iconSet>
          </x14:cfRule>
          <xm:sqref>B115</xm:sqref>
        </x14:conditionalFormatting>
        <x14:conditionalFormatting xmlns:xm="http://schemas.microsoft.com/office/excel/2006/main">
          <x14:cfRule type="iconSet" priority="159" id="{35E516DC-9177-402E-AC0B-080986008E72}">
            <x14:iconSet iconSet="3Flags" custom="1">
              <x14:cfvo type="percent">
                <xm:f>0</xm:f>
              </x14:cfvo>
              <x14:cfvo type="formula">
                <xm:f>$D$128-0.001</xm:f>
              </x14:cfvo>
              <x14:cfvo type="formula" gte="0">
                <xm:f>$D$128</xm:f>
              </x14:cfvo>
              <x14:cfIcon iconSet="3Flags" iconId="0"/>
              <x14:cfIcon iconSet="NoIcons" iconId="0"/>
              <x14:cfIcon iconSet="3Flags" iconId="2"/>
            </x14:iconSet>
          </x14:cfRule>
          <xm:sqref>B128</xm:sqref>
        </x14:conditionalFormatting>
        <x14:conditionalFormatting xmlns:xm="http://schemas.microsoft.com/office/excel/2006/main">
          <x14:cfRule type="iconSet" priority="157" id="{46011D36-CD48-405A-A149-DC55443647D5}">
            <x14:iconSet iconSet="3Flags" custom="1">
              <x14:cfvo type="percent">
                <xm:f>0</xm:f>
              </x14:cfvo>
              <x14:cfvo type="formula">
                <xm:f>$D$129-0.001</xm:f>
              </x14:cfvo>
              <x14:cfvo type="formula" gte="0">
                <xm:f>$D$129</xm:f>
              </x14:cfvo>
              <x14:cfIcon iconSet="3Flags" iconId="0"/>
              <x14:cfIcon iconSet="NoIcons" iconId="0"/>
              <x14:cfIcon iconSet="3Flags" iconId="2"/>
            </x14:iconSet>
          </x14:cfRule>
          <xm:sqref>B129</xm:sqref>
        </x14:conditionalFormatting>
        <x14:conditionalFormatting xmlns:xm="http://schemas.microsoft.com/office/excel/2006/main">
          <x14:cfRule type="iconSet" priority="155" id="{12523911-B91C-457B-88FF-1D8490680441}">
            <x14:iconSet iconSet="3Flags" custom="1">
              <x14:cfvo type="percent">
                <xm:f>0</xm:f>
              </x14:cfvo>
              <x14:cfvo type="formula">
                <xm:f>$D$159-0.001</xm:f>
              </x14:cfvo>
              <x14:cfvo type="formula" gte="0">
                <xm:f>$D$148</xm:f>
              </x14:cfvo>
              <x14:cfIcon iconSet="3Flags" iconId="2"/>
              <x14:cfIcon iconSet="NoIcons" iconId="0"/>
              <x14:cfIcon iconSet="3Flags" iconId="0"/>
            </x14:iconSet>
          </x14:cfRule>
          <xm:sqref>B148</xm:sqref>
        </x14:conditionalFormatting>
        <x14:conditionalFormatting xmlns:xm="http://schemas.microsoft.com/office/excel/2006/main">
          <x14:cfRule type="iconSet" priority="6" id="{2FDACDDD-3664-4EEF-BE18-40D357EBB5F7}">
            <x14:iconSet iconSet="3Flags" custom="1">
              <x14:cfvo type="percent">
                <xm:f>0</xm:f>
              </x14:cfvo>
              <x14:cfvo type="formula">
                <xm:f>$D$159-0.001</xm:f>
              </x14:cfvo>
              <x14:cfvo type="formula" gte="0">
                <xm:f>$D$148</xm:f>
              </x14:cfvo>
              <x14:cfIcon iconSet="3Flags" iconId="2"/>
              <x14:cfIcon iconSet="NoIcons" iconId="0"/>
              <x14:cfIcon iconSet="3Flags" iconId="0"/>
            </x14:iconSet>
          </x14:cfRule>
          <xm:sqref>B168:B169</xm:sqref>
        </x14:conditionalFormatting>
        <x14:conditionalFormatting xmlns:xm="http://schemas.microsoft.com/office/excel/2006/main">
          <x14:cfRule type="iconSet" priority="149" id="{64AB1076-CD46-40CC-808B-742EDC269850}">
            <x14:iconSet iconSet="3Flags" custom="1">
              <x14:cfvo type="percent">
                <xm:f>0</xm:f>
              </x14:cfvo>
              <x14:cfvo type="formula">
                <xm:f>$D$180-0.001</xm:f>
              </x14:cfvo>
              <x14:cfvo type="formula" gte="0">
                <xm:f>$D$180</xm:f>
              </x14:cfvo>
              <x14:cfIcon iconSet="3Flags" iconId="0"/>
              <x14:cfIcon iconSet="NoIcons" iconId="0"/>
              <x14:cfIcon iconSet="3Flags" iconId="2"/>
            </x14:iconSet>
          </x14:cfRule>
          <xm:sqref>B180</xm:sqref>
        </x14:conditionalFormatting>
        <x14:conditionalFormatting xmlns:xm="http://schemas.microsoft.com/office/excel/2006/main">
          <x14:cfRule type="iconSet" priority="147" id="{3BC2AAC4-93C7-4402-9384-EC5638BB6F67}">
            <x14:iconSet iconSet="3Flags" custom="1">
              <x14:cfvo type="percent">
                <xm:f>0</xm:f>
              </x14:cfvo>
              <x14:cfvo type="formula">
                <xm:f>$D$187-0.001</xm:f>
              </x14:cfvo>
              <x14:cfvo type="formula" gte="0">
                <xm:f>$D$187</xm:f>
              </x14:cfvo>
              <x14:cfIcon iconSet="3Flags" iconId="0"/>
              <x14:cfIcon iconSet="NoIcons" iconId="0"/>
              <x14:cfIcon iconSet="3Flags" iconId="2"/>
            </x14:iconSet>
          </x14:cfRule>
          <xm:sqref>B187</xm:sqref>
        </x14:conditionalFormatting>
        <x14:conditionalFormatting xmlns:xm="http://schemas.microsoft.com/office/excel/2006/main">
          <x14:cfRule type="iconSet" priority="145" id="{EF606BDF-9AD6-42A2-9E8E-103BDEB70B1D}">
            <x14:iconSet iconSet="3Flags" custom="1">
              <x14:cfvo type="percent">
                <xm:f>0</xm:f>
              </x14:cfvo>
              <x14:cfvo type="formula">
                <xm:f>$D$189-0.001</xm:f>
              </x14:cfvo>
              <x14:cfvo type="formula" gte="0">
                <xm:f>$D$189</xm:f>
              </x14:cfvo>
              <x14:cfIcon iconSet="3Flags" iconId="0"/>
              <x14:cfIcon iconSet="NoIcons" iconId="0"/>
              <x14:cfIcon iconSet="3Flags" iconId="2"/>
            </x14:iconSet>
          </x14:cfRule>
          <xm:sqref>B189</xm:sqref>
        </x14:conditionalFormatting>
        <x14:conditionalFormatting xmlns:xm="http://schemas.microsoft.com/office/excel/2006/main">
          <x14:cfRule type="iconSet" priority="143" id="{D30E3DAE-1829-44F0-8AEC-6B363A459930}">
            <x14:iconSet iconSet="3Flags" custom="1">
              <x14:cfvo type="percent">
                <xm:f>0</xm:f>
              </x14:cfvo>
              <x14:cfvo type="formula">
                <xm:f>$D$190-0.001</xm:f>
              </x14:cfvo>
              <x14:cfvo type="formula" gte="0">
                <xm:f>$D$190</xm:f>
              </x14:cfvo>
              <x14:cfIcon iconSet="3Flags" iconId="0"/>
              <x14:cfIcon iconSet="NoIcons" iconId="0"/>
              <x14:cfIcon iconSet="3Flags" iconId="2"/>
            </x14:iconSet>
          </x14:cfRule>
          <xm:sqref>B190</xm:sqref>
        </x14:conditionalFormatting>
        <x14:conditionalFormatting xmlns:xm="http://schemas.microsoft.com/office/excel/2006/main">
          <x14:cfRule type="iconSet" priority="141" id="{9620F2E8-3D9D-4A20-8E22-29B80540C717}">
            <x14:iconSet iconSet="3Flags" custom="1">
              <x14:cfvo type="percent">
                <xm:f>0</xm:f>
              </x14:cfvo>
              <x14:cfvo type="formula">
                <xm:f>$D$201-0.001</xm:f>
              </x14:cfvo>
              <x14:cfvo type="formula" gte="0">
                <xm:f>$D$201</xm:f>
              </x14:cfvo>
              <x14:cfIcon iconSet="3Flags" iconId="0"/>
              <x14:cfIcon iconSet="NoIcons" iconId="0"/>
              <x14:cfIcon iconSet="3Flags" iconId="2"/>
            </x14:iconSet>
          </x14:cfRule>
          <xm:sqref>B201</xm:sqref>
        </x14:conditionalFormatting>
        <x14:conditionalFormatting xmlns:xm="http://schemas.microsoft.com/office/excel/2006/main">
          <x14:cfRule type="iconSet" priority="139" id="{45627955-F0CC-4651-B83D-BC73385710ED}">
            <x14:iconSet iconSet="3Flags" custom="1">
              <x14:cfvo type="percent">
                <xm:f>0</xm:f>
              </x14:cfvo>
              <x14:cfvo type="formula">
                <xm:f>$D$205-0.001</xm:f>
              </x14:cfvo>
              <x14:cfvo type="formula" gte="0">
                <xm:f>$D$205</xm:f>
              </x14:cfvo>
              <x14:cfIcon iconSet="3Flags" iconId="0"/>
              <x14:cfIcon iconSet="NoIcons" iconId="0"/>
              <x14:cfIcon iconSet="3Flags" iconId="2"/>
            </x14:iconSet>
          </x14:cfRule>
          <xm:sqref>B205</xm:sqref>
        </x14:conditionalFormatting>
        <x14:conditionalFormatting xmlns:xm="http://schemas.microsoft.com/office/excel/2006/main">
          <x14:cfRule type="iconSet" priority="137" id="{A198A72A-0B81-4063-BEAF-915A8277234F}">
            <x14:iconSet iconSet="3Flags" custom="1">
              <x14:cfvo type="percent">
                <xm:f>0</xm:f>
              </x14:cfvo>
              <x14:cfvo type="formula">
                <xm:f>$D$209-0.001</xm:f>
              </x14:cfvo>
              <x14:cfvo type="formula" gte="0">
                <xm:f>$D$209</xm:f>
              </x14:cfvo>
              <x14:cfIcon iconSet="3Flags" iconId="0"/>
              <x14:cfIcon iconSet="NoIcons" iconId="0"/>
              <x14:cfIcon iconSet="3Flags" iconId="2"/>
            </x14:iconSet>
          </x14:cfRule>
          <xm:sqref>B209</xm:sqref>
        </x14:conditionalFormatting>
        <x14:conditionalFormatting xmlns:xm="http://schemas.microsoft.com/office/excel/2006/main">
          <x14:cfRule type="iconSet" priority="135" id="{5EDEAC98-6EDF-4ECB-B76E-297C99F38E1F}">
            <x14:iconSet iconSet="3Flags" custom="1">
              <x14:cfvo type="percent">
                <xm:f>0</xm:f>
              </x14:cfvo>
              <x14:cfvo type="formula">
                <xm:f>$D$212-0.001</xm:f>
              </x14:cfvo>
              <x14:cfvo type="formula" gte="0">
                <xm:f>$D$212</xm:f>
              </x14:cfvo>
              <x14:cfIcon iconSet="3Flags" iconId="0"/>
              <x14:cfIcon iconSet="NoIcons" iconId="0"/>
              <x14:cfIcon iconSet="3Flags" iconId="2"/>
            </x14:iconSet>
          </x14:cfRule>
          <xm:sqref>B212</xm:sqref>
        </x14:conditionalFormatting>
        <x14:conditionalFormatting xmlns:xm="http://schemas.microsoft.com/office/excel/2006/main">
          <x14:cfRule type="iconSet" priority="133" id="{8B730820-522A-4C9D-8636-27C20DB44DE7}">
            <x14:iconSet iconSet="3Flags" custom="1">
              <x14:cfvo type="percent">
                <xm:f>0</xm:f>
              </x14:cfvo>
              <x14:cfvo type="formula">
                <xm:f>$D$217-0.001</xm:f>
              </x14:cfvo>
              <x14:cfvo type="formula" gte="0">
                <xm:f>$D$217</xm:f>
              </x14:cfvo>
              <x14:cfIcon iconSet="3Flags" iconId="0"/>
              <x14:cfIcon iconSet="NoIcons" iconId="0"/>
              <x14:cfIcon iconSet="3Flags" iconId="2"/>
            </x14:iconSet>
          </x14:cfRule>
          <xm:sqref>B217</xm:sqref>
        </x14:conditionalFormatting>
        <x14:conditionalFormatting xmlns:xm="http://schemas.microsoft.com/office/excel/2006/main">
          <x14:cfRule type="iconSet" priority="129" id="{3992DB2F-F7D9-46B7-B848-441B13DC437A}">
            <x14:iconSet iconSet="3Flags" custom="1">
              <x14:cfvo type="percent">
                <xm:f>0</xm:f>
              </x14:cfvo>
              <x14:cfvo type="formula">
                <xm:f>$D$224-0.001</xm:f>
              </x14:cfvo>
              <x14:cfvo type="formula" gte="0">
                <xm:f>$D$224</xm:f>
              </x14:cfvo>
              <x14:cfIcon iconSet="3Flags" iconId="2"/>
              <x14:cfIcon iconSet="NoIcons" iconId="0"/>
              <x14:cfIcon iconSet="3Flags" iconId="0"/>
            </x14:iconSet>
          </x14:cfRule>
          <xm:sqref>B224</xm:sqref>
        </x14:conditionalFormatting>
        <x14:conditionalFormatting xmlns:xm="http://schemas.microsoft.com/office/excel/2006/main">
          <x14:cfRule type="iconSet" priority="127" id="{096D255E-6950-4172-8E69-162EC940FF45}">
            <x14:iconSet iconSet="3Flags" custom="1">
              <x14:cfvo type="percent">
                <xm:f>0</xm:f>
              </x14:cfvo>
              <x14:cfvo type="formula">
                <xm:f>$D$228-0.001</xm:f>
              </x14:cfvo>
              <x14:cfvo type="formula" gte="0">
                <xm:f>$D$228</xm:f>
              </x14:cfvo>
              <x14:cfIcon iconSet="3Flags" iconId="2"/>
              <x14:cfIcon iconSet="NoIcons" iconId="0"/>
              <x14:cfIcon iconSet="3Flags" iconId="0"/>
            </x14:iconSet>
          </x14:cfRule>
          <xm:sqref>B228</xm:sqref>
        </x14:conditionalFormatting>
        <x14:conditionalFormatting xmlns:xm="http://schemas.microsoft.com/office/excel/2006/main">
          <x14:cfRule type="iconSet" priority="125" id="{E10BB423-D769-4C2C-A29B-62D5D87CF8F2}">
            <x14:iconSet iconSet="3Flags" custom="1">
              <x14:cfvo type="percent">
                <xm:f>0</xm:f>
              </x14:cfvo>
              <x14:cfvo type="formula">
                <xm:f>$D$232-0.001</xm:f>
              </x14:cfvo>
              <x14:cfvo type="formula" gte="0">
                <xm:f>$D$232</xm:f>
              </x14:cfvo>
              <x14:cfIcon iconSet="3Flags" iconId="2"/>
              <x14:cfIcon iconSet="NoIcons" iconId="0"/>
              <x14:cfIcon iconSet="3Flags" iconId="0"/>
            </x14:iconSet>
          </x14:cfRule>
          <xm:sqref>B232</xm:sqref>
        </x14:conditionalFormatting>
        <x14:conditionalFormatting xmlns:xm="http://schemas.microsoft.com/office/excel/2006/main">
          <x14:cfRule type="iconSet" priority="131" id="{67DC7991-1D0F-4FD8-BAEB-54E6D2CFAED0}">
            <x14:iconSet iconSet="3Flags" custom="1">
              <x14:cfvo type="percent">
                <xm:f>0</xm:f>
              </x14:cfvo>
              <x14:cfvo type="formula">
                <xm:f>$D$234-0.001%</xm:f>
              </x14:cfvo>
              <x14:cfvo type="formula" gte="0">
                <xm:f>$D$234</xm:f>
              </x14:cfvo>
              <x14:cfIcon iconSet="3Flags" iconId="0"/>
              <x14:cfIcon iconSet="NoIcons" iconId="0"/>
              <x14:cfIcon iconSet="3Flags" iconId="2"/>
            </x14:iconSet>
          </x14:cfRule>
          <xm:sqref>B234</xm:sqref>
        </x14:conditionalFormatting>
        <x14:conditionalFormatting xmlns:xm="http://schemas.microsoft.com/office/excel/2006/main">
          <x14:cfRule type="iconSet" priority="123" id="{934A2CBB-79EB-4406-8CB2-B586A4886B6B}">
            <x14:iconSet iconSet="3Flags" custom="1">
              <x14:cfvo type="percent">
                <xm:f>0</xm:f>
              </x14:cfvo>
              <x14:cfvo type="formula">
                <xm:f>$D$235-0.001%</xm:f>
              </x14:cfvo>
              <x14:cfvo type="formula" gte="0">
                <xm:f>$D$235</xm:f>
              </x14:cfvo>
              <x14:cfIcon iconSet="3Flags" iconId="0"/>
              <x14:cfIcon iconSet="NoIcons" iconId="0"/>
              <x14:cfIcon iconSet="3Flags" iconId="2"/>
            </x14:iconSet>
          </x14:cfRule>
          <xm:sqref>B235</xm:sqref>
        </x14:conditionalFormatting>
        <x14:conditionalFormatting xmlns:xm="http://schemas.microsoft.com/office/excel/2006/main">
          <x14:cfRule type="iconSet" priority="121" id="{0B8A363C-E8E3-4455-A515-833E3A8552AD}">
            <x14:iconSet iconSet="3Flags" custom="1">
              <x14:cfvo type="percent">
                <xm:f>0</xm:f>
              </x14:cfvo>
              <x14:cfvo type="formula">
                <xm:f>$D$236-0.001%</xm:f>
              </x14:cfvo>
              <x14:cfvo type="formula" gte="0">
                <xm:f>$D$236</xm:f>
              </x14:cfvo>
              <x14:cfIcon iconSet="3Flags" iconId="2"/>
              <x14:cfIcon iconSet="NoIcons" iconId="0"/>
              <x14:cfIcon iconSet="3Flags" iconId="0"/>
            </x14:iconSet>
          </x14:cfRule>
          <xm:sqref>B236</xm:sqref>
        </x14:conditionalFormatting>
        <x14:conditionalFormatting xmlns:xm="http://schemas.microsoft.com/office/excel/2006/main">
          <x14:cfRule type="iconSet" priority="119" id="{42FFD343-4B37-40AA-8F23-811E620763C5}">
            <x14:iconSet iconSet="3Flags" custom="1">
              <x14:cfvo type="percent">
                <xm:f>0</xm:f>
              </x14:cfvo>
              <x14:cfvo type="formula">
                <xm:f>$D$237-0.001%</xm:f>
              </x14:cfvo>
              <x14:cfvo type="formula" gte="0">
                <xm:f>$D$237</xm:f>
              </x14:cfvo>
              <x14:cfIcon iconSet="3Flags" iconId="0"/>
              <x14:cfIcon iconSet="NoIcons" iconId="0"/>
              <x14:cfIcon iconSet="3Flags" iconId="2"/>
            </x14:iconSet>
          </x14:cfRule>
          <xm:sqref>B237</xm:sqref>
        </x14:conditionalFormatting>
        <x14:conditionalFormatting xmlns:xm="http://schemas.microsoft.com/office/excel/2006/main">
          <x14:cfRule type="iconSet" priority="117" id="{F8E8D941-2D21-4DE8-BFA5-8A25EB98F9AD}">
            <x14:iconSet iconSet="3Flags" custom="1">
              <x14:cfvo type="percent">
                <xm:f>0</xm:f>
              </x14:cfvo>
              <x14:cfvo type="formula">
                <xm:f>$D$239-0.001%</xm:f>
              </x14:cfvo>
              <x14:cfvo type="formula" gte="0">
                <xm:f>$D$239</xm:f>
              </x14:cfvo>
              <x14:cfIcon iconSet="3Flags" iconId="0"/>
              <x14:cfIcon iconSet="NoIcons" iconId="0"/>
              <x14:cfIcon iconSet="3Flags" iconId="2"/>
            </x14:iconSet>
          </x14:cfRule>
          <xm:sqref>B239</xm:sqref>
        </x14:conditionalFormatting>
        <x14:conditionalFormatting xmlns:xm="http://schemas.microsoft.com/office/excel/2006/main">
          <x14:cfRule type="iconSet" priority="115" id="{A491CDC0-77F2-47CC-B4B8-8F053FB7ECEC}">
            <x14:iconSet iconSet="3Flags" custom="1">
              <x14:cfvo type="percent">
                <xm:f>0</xm:f>
              </x14:cfvo>
              <x14:cfvo type="formula">
                <xm:f>$D$240-0.001%</xm:f>
              </x14:cfvo>
              <x14:cfvo type="formula" gte="0">
                <xm:f>$D$240</xm:f>
              </x14:cfvo>
              <x14:cfIcon iconSet="3Flags" iconId="0"/>
              <x14:cfIcon iconSet="NoIcons" iconId="0"/>
              <x14:cfIcon iconSet="3Flags" iconId="2"/>
            </x14:iconSet>
          </x14:cfRule>
          <xm:sqref>B240</xm:sqref>
        </x14:conditionalFormatting>
        <x14:conditionalFormatting xmlns:xm="http://schemas.microsoft.com/office/excel/2006/main">
          <x14:cfRule type="iconSet" priority="113" id="{3196E1BC-CFB6-41DD-9C38-555C0CB66FB1}">
            <x14:iconSet iconSet="3Flags" custom="1">
              <x14:cfvo type="percent">
                <xm:f>0</xm:f>
              </x14:cfvo>
              <x14:cfvo type="formula">
                <xm:f>$D$241-0.001%</xm:f>
              </x14:cfvo>
              <x14:cfvo type="formula" gte="0">
                <xm:f>$D$241</xm:f>
              </x14:cfvo>
              <x14:cfIcon iconSet="3Flags" iconId="0"/>
              <x14:cfIcon iconSet="NoIcons" iconId="0"/>
              <x14:cfIcon iconSet="3Flags" iconId="2"/>
            </x14:iconSet>
          </x14:cfRule>
          <xm:sqref>B241</xm:sqref>
        </x14:conditionalFormatting>
        <x14:conditionalFormatting xmlns:xm="http://schemas.microsoft.com/office/excel/2006/main">
          <x14:cfRule type="iconSet" priority="111" id="{57820A45-72B5-48BE-9DAC-0611521998D8}">
            <x14:iconSet iconSet="3Flags" custom="1">
              <x14:cfvo type="percent">
                <xm:f>0</xm:f>
              </x14:cfvo>
              <x14:cfvo type="formula">
                <xm:f>$D$242-0.001%</xm:f>
              </x14:cfvo>
              <x14:cfvo type="formula" gte="0">
                <xm:f>$D$242</xm:f>
              </x14:cfvo>
              <x14:cfIcon iconSet="3Flags" iconId="0"/>
              <x14:cfIcon iconSet="NoIcons" iconId="0"/>
              <x14:cfIcon iconSet="3Flags" iconId="2"/>
            </x14:iconSet>
          </x14:cfRule>
          <xm:sqref>B242</xm:sqref>
        </x14:conditionalFormatting>
        <x14:conditionalFormatting xmlns:xm="http://schemas.microsoft.com/office/excel/2006/main">
          <x14:cfRule type="iconSet" priority="109" id="{A6B2D079-D68C-4C8A-B822-F2717EA9BCA6}">
            <x14:iconSet iconSet="3Flags" custom="1">
              <x14:cfvo type="percent">
                <xm:f>0</xm:f>
              </x14:cfvo>
              <x14:cfvo type="formula">
                <xm:f>$D$243-0.001%</xm:f>
              </x14:cfvo>
              <x14:cfvo type="formula" gte="0">
                <xm:f>$D$243</xm:f>
              </x14:cfvo>
              <x14:cfIcon iconSet="3Flags" iconId="0"/>
              <x14:cfIcon iconSet="NoIcons" iconId="0"/>
              <x14:cfIcon iconSet="3Flags" iconId="2"/>
            </x14:iconSet>
          </x14:cfRule>
          <xm:sqref>B243</xm:sqref>
        </x14:conditionalFormatting>
        <x14:conditionalFormatting xmlns:xm="http://schemas.microsoft.com/office/excel/2006/main">
          <x14:cfRule type="iconSet" priority="107" id="{88C601E2-C63F-4BC7-9BFC-ABF6A489750F}">
            <x14:iconSet iconSet="3Flags" custom="1">
              <x14:cfvo type="percent">
                <xm:f>0</xm:f>
              </x14:cfvo>
              <x14:cfvo type="formula">
                <xm:f>$D$245-0.001%</xm:f>
              </x14:cfvo>
              <x14:cfvo type="formula" gte="0">
                <xm:f>$D$245</xm:f>
              </x14:cfvo>
              <x14:cfIcon iconSet="3Flags" iconId="2"/>
              <x14:cfIcon iconSet="NoIcons" iconId="0"/>
              <x14:cfIcon iconSet="3Flags" iconId="0"/>
            </x14:iconSet>
          </x14:cfRule>
          <xm:sqref>B245</xm:sqref>
        </x14:conditionalFormatting>
        <x14:conditionalFormatting xmlns:xm="http://schemas.microsoft.com/office/excel/2006/main">
          <x14:cfRule type="iconSet" priority="105" id="{01D293D0-D7A3-46D4-B535-AE27597B021A}">
            <x14:iconSet iconSet="3Flags" custom="1">
              <x14:cfvo type="percent">
                <xm:f>0</xm:f>
              </x14:cfvo>
              <x14:cfvo type="formula">
                <xm:f>$D$246-0.001%</xm:f>
              </x14:cfvo>
              <x14:cfvo type="formula" gte="0">
                <xm:f>$D$246</xm:f>
              </x14:cfvo>
              <x14:cfIcon iconSet="3Flags" iconId="2"/>
              <x14:cfIcon iconSet="NoIcons" iconId="0"/>
              <x14:cfIcon iconSet="3Flags" iconId="0"/>
            </x14:iconSet>
          </x14:cfRule>
          <xm:sqref>B246</xm:sqref>
        </x14:conditionalFormatting>
        <x14:conditionalFormatting xmlns:xm="http://schemas.microsoft.com/office/excel/2006/main">
          <x14:cfRule type="iconSet" priority="103" id="{354DD538-899F-45E2-BCAF-30560AFAD85D}">
            <x14:iconSet iconSet="3Flags" custom="1">
              <x14:cfvo type="percent">
                <xm:f>0</xm:f>
              </x14:cfvo>
              <x14:cfvo type="formula">
                <xm:f>$D$247-0.001</xm:f>
              </x14:cfvo>
              <x14:cfvo type="formula" gte="0">
                <xm:f>$D$247</xm:f>
              </x14:cfvo>
              <x14:cfIcon iconSet="3Flags" iconId="0"/>
              <x14:cfIcon iconSet="NoIcons" iconId="0"/>
              <x14:cfIcon iconSet="3Flags" iconId="2"/>
            </x14:iconSet>
          </x14:cfRule>
          <xm:sqref>B247</xm:sqref>
        </x14:conditionalFormatting>
        <x14:conditionalFormatting xmlns:xm="http://schemas.microsoft.com/office/excel/2006/main">
          <x14:cfRule type="iconSet" priority="101" id="{55DEFDDC-5827-44D0-B29E-BFB45C223305}">
            <x14:iconSet iconSet="3Flags" custom="1">
              <x14:cfvo type="percent">
                <xm:f>0</xm:f>
              </x14:cfvo>
              <x14:cfvo type="formula">
                <xm:f>$D$248-0.001</xm:f>
              </x14:cfvo>
              <x14:cfvo type="formula" gte="0">
                <xm:f>$D$248</xm:f>
              </x14:cfvo>
              <x14:cfIcon iconSet="3Flags" iconId="0"/>
              <x14:cfIcon iconSet="NoIcons" iconId="0"/>
              <x14:cfIcon iconSet="3Flags" iconId="2"/>
            </x14:iconSet>
          </x14:cfRule>
          <xm:sqref>B248</xm:sqref>
        </x14:conditionalFormatting>
        <x14:conditionalFormatting xmlns:xm="http://schemas.microsoft.com/office/excel/2006/main">
          <x14:cfRule type="iconSet" priority="99" id="{EA22832E-DCF1-4466-8A6C-8A75A25CD6EC}">
            <x14:iconSet iconSet="3Flags" custom="1">
              <x14:cfvo type="percent">
                <xm:f>0</xm:f>
              </x14:cfvo>
              <x14:cfvo type="formula">
                <xm:f>$D$249-0.001%</xm:f>
              </x14:cfvo>
              <x14:cfvo type="formula" gte="0">
                <xm:f>$D$249</xm:f>
              </x14:cfvo>
              <x14:cfIcon iconSet="3Flags" iconId="0"/>
              <x14:cfIcon iconSet="NoIcons" iconId="0"/>
              <x14:cfIcon iconSet="3Flags" iconId="2"/>
            </x14:iconSet>
          </x14:cfRule>
          <xm:sqref>B249</xm:sqref>
        </x14:conditionalFormatting>
        <x14:conditionalFormatting xmlns:xm="http://schemas.microsoft.com/office/excel/2006/main">
          <x14:cfRule type="iconSet" priority="97" id="{FB23FC9C-FD5E-4565-9839-2AE7AE6DD5C5}">
            <x14:iconSet iconSet="3Flags" custom="1">
              <x14:cfvo type="percent">
                <xm:f>0</xm:f>
              </x14:cfvo>
              <x14:cfvo type="formula">
                <xm:f>$D$251-0.001</xm:f>
              </x14:cfvo>
              <x14:cfvo type="formula" gte="0">
                <xm:f>$D$251</xm:f>
              </x14:cfvo>
              <x14:cfIcon iconSet="3Flags" iconId="0"/>
              <x14:cfIcon iconSet="NoIcons" iconId="0"/>
              <x14:cfIcon iconSet="3Flags" iconId="2"/>
            </x14:iconSet>
          </x14:cfRule>
          <xm:sqref>B251</xm:sqref>
        </x14:conditionalFormatting>
        <x14:conditionalFormatting xmlns:xm="http://schemas.microsoft.com/office/excel/2006/main">
          <x14:cfRule type="iconSet" priority="95" id="{C2937FDB-2E07-467A-9178-90E44F235C83}">
            <x14:iconSet iconSet="3Flags" custom="1">
              <x14:cfvo type="percent">
                <xm:f>0</xm:f>
              </x14:cfvo>
              <x14:cfvo type="formula">
                <xm:f>$D$252-0.001</xm:f>
              </x14:cfvo>
              <x14:cfvo type="formula" gte="0">
                <xm:f>$D$252</xm:f>
              </x14:cfvo>
              <x14:cfIcon iconSet="3Flags" iconId="0"/>
              <x14:cfIcon iconSet="NoIcons" iconId="0"/>
              <x14:cfIcon iconSet="3Flags" iconId="2"/>
            </x14:iconSet>
          </x14:cfRule>
          <xm:sqref>B252</xm:sqref>
        </x14:conditionalFormatting>
        <x14:conditionalFormatting xmlns:xm="http://schemas.microsoft.com/office/excel/2006/main">
          <x14:cfRule type="iconSet" priority="93" id="{0C3F76A2-540B-40FF-9155-E1D781DED772}">
            <x14:iconSet iconSet="3Flags" custom="1">
              <x14:cfvo type="percent">
                <xm:f>0</xm:f>
              </x14:cfvo>
              <x14:cfvo type="formula">
                <xm:f>$D$253-0.001</xm:f>
              </x14:cfvo>
              <x14:cfvo type="formula" gte="0">
                <xm:f>$D$253</xm:f>
              </x14:cfvo>
              <x14:cfIcon iconSet="3Flags" iconId="2"/>
              <x14:cfIcon iconSet="NoIcons" iconId="0"/>
              <x14:cfIcon iconSet="3Flags" iconId="0"/>
            </x14:iconSet>
          </x14:cfRule>
          <xm:sqref>B253</xm:sqref>
        </x14:conditionalFormatting>
        <x14:conditionalFormatting xmlns:xm="http://schemas.microsoft.com/office/excel/2006/main">
          <x14:cfRule type="iconSet" priority="91" id="{282B2D44-E65E-4D61-9511-3CD9B2DC1427}">
            <x14:iconSet iconSet="3Flags" custom="1">
              <x14:cfvo type="percent">
                <xm:f>0</xm:f>
              </x14:cfvo>
              <x14:cfvo type="formula">
                <xm:f>$D$254-0.001</xm:f>
              </x14:cfvo>
              <x14:cfvo type="formula" gte="0">
                <xm:f>$D$254</xm:f>
              </x14:cfvo>
              <x14:cfIcon iconSet="3Flags" iconId="2"/>
              <x14:cfIcon iconSet="NoIcons" iconId="0"/>
              <x14:cfIcon iconSet="3Flags" iconId="0"/>
            </x14:iconSet>
          </x14:cfRule>
          <xm:sqref>B254</xm:sqref>
        </x14:conditionalFormatting>
        <x14:conditionalFormatting xmlns:xm="http://schemas.microsoft.com/office/excel/2006/main">
          <x14:cfRule type="iconSet" priority="87" id="{C85F799D-FCE9-43E6-8C90-4518CC558582}">
            <x14:iconSet iconSet="3Flags" custom="1">
              <x14:cfvo type="percent">
                <xm:f>0</xm:f>
              </x14:cfvo>
              <x14:cfvo type="formula">
                <xm:f>$D$255-0.001</xm:f>
              </x14:cfvo>
              <x14:cfvo type="formula" gte="0">
                <xm:f>$D$255</xm:f>
              </x14:cfvo>
              <x14:cfIcon iconSet="3Flags" iconId="0"/>
              <x14:cfIcon iconSet="NoIcons" iconId="0"/>
              <x14:cfIcon iconSet="3Flags" iconId="2"/>
            </x14:iconSet>
          </x14:cfRule>
          <xm:sqref>B255</xm:sqref>
        </x14:conditionalFormatting>
        <x14:conditionalFormatting xmlns:xm="http://schemas.microsoft.com/office/excel/2006/main">
          <x14:cfRule type="iconSet" priority="89" id="{D248426C-1652-48FE-88C9-BDA2389FDC9D}">
            <x14:iconSet iconSet="3Flags" custom="1">
              <x14:cfvo type="percent">
                <xm:f>0</xm:f>
              </x14:cfvo>
              <x14:cfvo type="formula">
                <xm:f>$D$256-0.001</xm:f>
              </x14:cfvo>
              <x14:cfvo type="formula" gte="0">
                <xm:f>$D$256</xm:f>
              </x14:cfvo>
              <x14:cfIcon iconSet="3Flags" iconId="2"/>
              <x14:cfIcon iconSet="NoIcons" iconId="0"/>
              <x14:cfIcon iconSet="3Flags" iconId="0"/>
            </x14:iconSet>
          </x14:cfRule>
          <xm:sqref>B256</xm:sqref>
        </x14:conditionalFormatting>
        <x14:conditionalFormatting xmlns:xm="http://schemas.microsoft.com/office/excel/2006/main">
          <x14:cfRule type="iconSet" priority="85" id="{2F89E576-AB1D-4255-A2AF-0E4B0249210C}">
            <x14:iconSet iconSet="3Flags" custom="1">
              <x14:cfvo type="percent">
                <xm:f>0</xm:f>
              </x14:cfvo>
              <x14:cfvo type="formula">
                <xm:f>$D$258-0.001%</xm:f>
              </x14:cfvo>
              <x14:cfvo type="formula" gte="0">
                <xm:f>$D$258</xm:f>
              </x14:cfvo>
              <x14:cfIcon iconSet="3Flags" iconId="0"/>
              <x14:cfIcon iconSet="NoIcons" iconId="0"/>
              <x14:cfIcon iconSet="3Flags" iconId="2"/>
            </x14:iconSet>
          </x14:cfRule>
          <xm:sqref>B258</xm:sqref>
        </x14:conditionalFormatting>
        <x14:conditionalFormatting xmlns:xm="http://schemas.microsoft.com/office/excel/2006/main">
          <x14:cfRule type="iconSet" priority="83" id="{D335A1F6-83B8-4443-B8C9-30605B3F2900}">
            <x14:iconSet iconSet="3Flags" custom="1">
              <x14:cfvo type="percent">
                <xm:f>0</xm:f>
              </x14:cfvo>
              <x14:cfvo type="formula">
                <xm:f>$D$259-0.001%</xm:f>
              </x14:cfvo>
              <x14:cfvo type="formula" gte="0">
                <xm:f>$D$259</xm:f>
              </x14:cfvo>
              <x14:cfIcon iconSet="3Flags" iconId="0"/>
              <x14:cfIcon iconSet="NoIcons" iconId="0"/>
              <x14:cfIcon iconSet="3Flags" iconId="2"/>
            </x14:iconSet>
          </x14:cfRule>
          <xm:sqref>B259</xm:sqref>
        </x14:conditionalFormatting>
        <x14:conditionalFormatting xmlns:xm="http://schemas.microsoft.com/office/excel/2006/main">
          <x14:cfRule type="iconSet" priority="81" id="{EE68DA55-8BD8-40C7-B59E-03AAA5606A6D}">
            <x14:iconSet iconSet="3Flags" custom="1">
              <x14:cfvo type="percent">
                <xm:f>0</xm:f>
              </x14:cfvo>
              <x14:cfvo type="formula">
                <xm:f>$D$260-0.001%</xm:f>
              </x14:cfvo>
              <x14:cfvo type="formula" gte="0">
                <xm:f>$D$260</xm:f>
              </x14:cfvo>
              <x14:cfIcon iconSet="3Flags" iconId="0"/>
              <x14:cfIcon iconSet="NoIcons" iconId="0"/>
              <x14:cfIcon iconSet="3Flags" iconId="2"/>
            </x14:iconSet>
          </x14:cfRule>
          <xm:sqref>B260</xm:sqref>
        </x14:conditionalFormatting>
        <x14:conditionalFormatting xmlns:xm="http://schemas.microsoft.com/office/excel/2006/main">
          <x14:cfRule type="iconSet" priority="10" id="{2B260891-2EE2-4B87-B430-0740ED60B641}">
            <x14:iconSet iconSet="3Flags" custom="1">
              <x14:cfvo type="percent">
                <xm:f>0</xm:f>
              </x14:cfvo>
              <x14:cfvo type="formula">
                <xm:f>$D$260-0.001%</xm:f>
              </x14:cfvo>
              <x14:cfvo type="formula" gte="0">
                <xm:f>$D$260</xm:f>
              </x14:cfvo>
              <x14:cfIcon iconSet="3Flags" iconId="0"/>
              <x14:cfIcon iconSet="NoIcons" iconId="0"/>
              <x14:cfIcon iconSet="3Flags" iconId="2"/>
            </x14:iconSet>
          </x14:cfRule>
          <xm:sqref>B261</xm:sqref>
        </x14:conditionalFormatting>
        <x14:conditionalFormatting xmlns:xm="http://schemas.microsoft.com/office/excel/2006/main">
          <x14:cfRule type="iconSet" priority="215" id="{3778F065-53AC-4053-B1C8-CA2B6FD7727B}">
            <x14:iconSet iconSet="3Flags" custom="1">
              <x14:cfvo type="percent">
                <xm:f>0</xm:f>
              </x14:cfvo>
              <x14:cfvo type="formula">
                <xm:f>$F$50-0.001</xm:f>
              </x14:cfvo>
              <x14:cfvo type="formula" gte="0">
                <xm:f>$F$50</xm:f>
              </x14:cfvo>
              <x14:cfIcon iconSet="3Flags" iconId="0"/>
              <x14:cfIcon iconSet="NoIcons" iconId="0"/>
              <x14:cfIcon iconSet="3Flags" iconId="2"/>
            </x14:iconSet>
          </x14:cfRule>
          <xm:sqref>D50</xm:sqref>
        </x14:conditionalFormatting>
        <x14:conditionalFormatting xmlns:xm="http://schemas.microsoft.com/office/excel/2006/main">
          <x14:cfRule type="iconSet" priority="214" id="{7102DD25-DBB4-4C75-A857-BF95EAEC8A4E}">
            <x14:iconSet iconSet="3Flags" custom="1">
              <x14:cfvo type="percent">
                <xm:f>0</xm:f>
              </x14:cfvo>
              <x14:cfvo type="formula">
                <xm:f>$F$51-0.001</xm:f>
              </x14:cfvo>
              <x14:cfvo type="formula" gte="0">
                <xm:f>$F$51</xm:f>
              </x14:cfvo>
              <x14:cfIcon iconSet="3Flags" iconId="0"/>
              <x14:cfIcon iconSet="NoIcons" iconId="0"/>
              <x14:cfIcon iconSet="3Flags" iconId="2"/>
            </x14:iconSet>
          </x14:cfRule>
          <xm:sqref>D51</xm:sqref>
        </x14:conditionalFormatting>
        <x14:conditionalFormatting xmlns:xm="http://schemas.microsoft.com/office/excel/2006/main">
          <x14:cfRule type="iconSet" priority="213" id="{483084AE-9B0D-4E8D-BC98-32B21CD20F0E}">
            <x14:iconSet iconSet="3Flags" custom="1">
              <x14:cfvo type="percent">
                <xm:f>0</xm:f>
              </x14:cfvo>
              <x14:cfvo type="formula">
                <xm:f>$F$52-0.001</xm:f>
              </x14:cfvo>
              <x14:cfvo type="formula" gte="0">
                <xm:f>$F$52</xm:f>
              </x14:cfvo>
              <x14:cfIcon iconSet="3Flags" iconId="2"/>
              <x14:cfIcon iconSet="NoIcons" iconId="0"/>
              <x14:cfIcon iconSet="3Flags" iconId="0"/>
            </x14:iconSet>
          </x14:cfRule>
          <xm:sqref>D52</xm:sqref>
        </x14:conditionalFormatting>
        <x14:conditionalFormatting xmlns:xm="http://schemas.microsoft.com/office/excel/2006/main">
          <x14:cfRule type="iconSet" priority="208" id="{FA246315-B4BF-4B3B-9701-5A0235E56D59}">
            <x14:iconSet iconSet="3Flags" custom="1">
              <x14:cfvo type="percent">
                <xm:f>0</xm:f>
              </x14:cfvo>
              <x14:cfvo type="formula">
                <xm:f>$F$54-0.001</xm:f>
              </x14:cfvo>
              <x14:cfvo type="formula" gte="0">
                <xm:f>$F$54</xm:f>
              </x14:cfvo>
              <x14:cfIcon iconSet="3Flags" iconId="0"/>
              <x14:cfIcon iconSet="NoIcons" iconId="0"/>
              <x14:cfIcon iconSet="3Flags" iconId="2"/>
            </x14:iconSet>
          </x14:cfRule>
          <xm:sqref>D54</xm:sqref>
        </x14:conditionalFormatting>
        <x14:conditionalFormatting xmlns:xm="http://schemas.microsoft.com/office/excel/2006/main">
          <x14:cfRule type="iconSet" priority="209" id="{8571742B-5532-4F59-A7E7-23AB72B0E4DF}">
            <x14:iconSet iconSet="3Flags" custom="1">
              <x14:cfvo type="percent">
                <xm:f>0</xm:f>
              </x14:cfvo>
              <x14:cfvo type="formula">
                <xm:f>$F$55-0.001</xm:f>
              </x14:cfvo>
              <x14:cfvo type="formula" gte="0">
                <xm:f>$F$55</xm:f>
              </x14:cfvo>
              <x14:cfIcon iconSet="3Flags" iconId="0"/>
              <x14:cfIcon iconSet="NoIcons" iconId="0"/>
              <x14:cfIcon iconSet="3Flags" iconId="2"/>
            </x14:iconSet>
          </x14:cfRule>
          <xm:sqref>D55</xm:sqref>
        </x14:conditionalFormatting>
        <x14:conditionalFormatting xmlns:xm="http://schemas.microsoft.com/office/excel/2006/main">
          <x14:cfRule type="iconSet" priority="211" id="{0372B68C-21B2-41FD-8213-7D3607664B62}">
            <x14:iconSet iconSet="3Flags" custom="1">
              <x14:cfvo type="percent">
                <xm:f>0</xm:f>
              </x14:cfvo>
              <x14:cfvo type="formula">
                <xm:f>$F$56-0.001</xm:f>
              </x14:cfvo>
              <x14:cfvo type="formula" gte="0">
                <xm:f>$F$56</xm:f>
              </x14:cfvo>
              <x14:cfIcon iconSet="3Flags" iconId="0"/>
              <x14:cfIcon iconSet="NoIcons" iconId="0"/>
              <x14:cfIcon iconSet="3Flags" iconId="2"/>
            </x14:iconSet>
          </x14:cfRule>
          <xm:sqref>D56</xm:sqref>
        </x14:conditionalFormatting>
        <x14:conditionalFormatting xmlns:xm="http://schemas.microsoft.com/office/excel/2006/main">
          <x14:cfRule type="iconSet" priority="207" id="{8904EECB-0AE0-4C7C-9E4A-5ECE533B6A96}">
            <x14:iconSet iconSet="3Flags" custom="1">
              <x14:cfvo type="percent">
                <xm:f>0</xm:f>
              </x14:cfvo>
              <x14:cfvo type="formula">
                <xm:f>$F$57-0.001</xm:f>
              </x14:cfvo>
              <x14:cfvo type="formula" gte="0">
                <xm:f>$F$57</xm:f>
              </x14:cfvo>
              <x14:cfIcon iconSet="3Flags" iconId="0"/>
              <x14:cfIcon iconSet="NoIcons" iconId="0"/>
              <x14:cfIcon iconSet="3Flags" iconId="2"/>
            </x14:iconSet>
          </x14:cfRule>
          <xm:sqref>D57</xm:sqref>
        </x14:conditionalFormatting>
        <x14:conditionalFormatting xmlns:xm="http://schemas.microsoft.com/office/excel/2006/main">
          <x14:cfRule type="iconSet" priority="200" id="{AB1515F0-7DFC-41AB-BE67-F0FA49322660}">
            <x14:iconSet iconSet="3Flags" custom="1">
              <x14:cfvo type="percent">
                <xm:f>0</xm:f>
              </x14:cfvo>
              <x14:cfvo type="formula">
                <xm:f>$F$64-0.001%</xm:f>
              </x14:cfvo>
              <x14:cfvo type="formula" gte="0">
                <xm:f>$F$64</xm:f>
              </x14:cfvo>
              <x14:cfIcon iconSet="3Flags" iconId="0"/>
              <x14:cfIcon iconSet="NoIcons" iconId="0"/>
              <x14:cfIcon iconSet="3Flags" iconId="2"/>
            </x14:iconSet>
          </x14:cfRule>
          <xm:sqref>D64</xm:sqref>
        </x14:conditionalFormatting>
        <x14:conditionalFormatting xmlns:xm="http://schemas.microsoft.com/office/excel/2006/main">
          <x14:cfRule type="iconSet" priority="199" id="{5488FF7F-59E2-461F-AE1A-8845AA9EFD5A}">
            <x14:iconSet iconSet="3Flags" custom="1">
              <x14:cfvo type="percent">
                <xm:f>0</xm:f>
              </x14:cfvo>
              <x14:cfvo type="formula">
                <xm:f>$F$65-0.001%</xm:f>
              </x14:cfvo>
              <x14:cfvo type="formula" gte="0">
                <xm:f>$F$65</xm:f>
              </x14:cfvo>
              <x14:cfIcon iconSet="3Flags" iconId="0"/>
              <x14:cfIcon iconSet="NoIcons" iconId="0"/>
              <x14:cfIcon iconSet="3Flags" iconId="2"/>
            </x14:iconSet>
          </x14:cfRule>
          <xm:sqref>D65</xm:sqref>
        </x14:conditionalFormatting>
        <x14:conditionalFormatting xmlns:xm="http://schemas.microsoft.com/office/excel/2006/main">
          <x14:cfRule type="iconSet" priority="198" id="{1C8ADC45-DBDE-4708-80BD-AC32534F9324}">
            <x14:iconSet iconSet="3Flags" custom="1">
              <x14:cfvo type="percent">
                <xm:f>0</xm:f>
              </x14:cfvo>
              <x14:cfvo type="formula">
                <xm:f>$F$67-0.001%</xm:f>
              </x14:cfvo>
              <x14:cfvo type="formula" gte="0">
                <xm:f>$F$67</xm:f>
              </x14:cfvo>
              <x14:cfIcon iconSet="3Flags" iconId="0"/>
              <x14:cfIcon iconSet="NoIcons" iconId="0"/>
              <x14:cfIcon iconSet="3Flags" iconId="2"/>
            </x14:iconSet>
          </x14:cfRule>
          <xm:sqref>D67</xm:sqref>
        </x14:conditionalFormatting>
        <x14:conditionalFormatting xmlns:xm="http://schemas.microsoft.com/office/excel/2006/main">
          <x14:cfRule type="iconSet" priority="188" id="{40FC6F57-D0C6-4005-9A97-03AD233FF651}">
            <x14:iconSet iconSet="3Flags" custom="1">
              <x14:cfvo type="percent">
                <xm:f>0</xm:f>
              </x14:cfvo>
              <x14:cfvo type="formula">
                <xm:f>$F$72-0.001%</xm:f>
              </x14:cfvo>
              <x14:cfvo type="formula" gte="0">
                <xm:f>$F$72</xm:f>
              </x14:cfvo>
              <x14:cfIcon iconSet="3Flags" iconId="0"/>
              <x14:cfIcon iconSet="NoIcons" iconId="0"/>
              <x14:cfIcon iconSet="3Flags" iconId="2"/>
            </x14:iconSet>
          </x14:cfRule>
          <xm:sqref>D72</xm:sqref>
        </x14:conditionalFormatting>
        <x14:conditionalFormatting xmlns:xm="http://schemas.microsoft.com/office/excel/2006/main">
          <x14:cfRule type="iconSet" priority="187" id="{B79681E5-B9EB-4581-88DF-5B0001BFB15A}">
            <x14:iconSet iconSet="3Flags" custom="1">
              <x14:cfvo type="percent">
                <xm:f>0</xm:f>
              </x14:cfvo>
              <x14:cfvo type="formula">
                <xm:f>$F$74-0.001%</xm:f>
              </x14:cfvo>
              <x14:cfvo type="formula" gte="0">
                <xm:f>$F$74</xm:f>
              </x14:cfvo>
              <x14:cfIcon iconSet="3Flags" iconId="0"/>
              <x14:cfIcon iconSet="NoIcons" iconId="0"/>
              <x14:cfIcon iconSet="3Flags" iconId="2"/>
            </x14:iconSet>
          </x14:cfRule>
          <xm:sqref>D74</xm:sqref>
        </x14:conditionalFormatting>
        <x14:conditionalFormatting xmlns:xm="http://schemas.microsoft.com/office/excel/2006/main">
          <x14:cfRule type="iconSet" priority="186" id="{74F2CF60-CBE2-4DEB-9FD6-6F578A883B0F}">
            <x14:iconSet iconSet="3Flags" custom="1">
              <x14:cfvo type="percent">
                <xm:f>0</xm:f>
              </x14:cfvo>
              <x14:cfvo type="formula">
                <xm:f>$F$75-0.001%</xm:f>
              </x14:cfvo>
              <x14:cfvo type="formula" gte="0">
                <xm:f>$F$75</xm:f>
              </x14:cfvo>
              <x14:cfIcon iconSet="3Flags" iconId="0"/>
              <x14:cfIcon iconSet="NoIcons" iconId="0"/>
              <x14:cfIcon iconSet="3Flags" iconId="2"/>
            </x14:iconSet>
          </x14:cfRule>
          <xm:sqref>D75</xm:sqref>
        </x14:conditionalFormatting>
        <x14:conditionalFormatting xmlns:xm="http://schemas.microsoft.com/office/excel/2006/main">
          <x14:cfRule type="iconSet" priority="185" id="{D5E5E53C-8649-45F1-BEBC-8BEB88CC9477}">
            <x14:iconSet iconSet="3Flags" custom="1">
              <x14:cfvo type="percent">
                <xm:f>0</xm:f>
              </x14:cfvo>
              <x14:cfvo type="formula">
                <xm:f>$F$76-0.001%</xm:f>
              </x14:cfvo>
              <x14:cfvo type="formula" gte="0">
                <xm:f>$F$76</xm:f>
              </x14:cfvo>
              <x14:cfIcon iconSet="3Flags" iconId="0"/>
              <x14:cfIcon iconSet="NoIcons" iconId="0"/>
              <x14:cfIcon iconSet="3Flags" iconId="2"/>
            </x14:iconSet>
          </x14:cfRule>
          <xm:sqref>D76</xm:sqref>
        </x14:conditionalFormatting>
        <x14:conditionalFormatting xmlns:xm="http://schemas.microsoft.com/office/excel/2006/main">
          <x14:cfRule type="iconSet" priority="195" id="{1CEFA683-19C5-43C0-9FE3-31BDF3A30D73}">
            <x14:iconSet iconSet="3Flags" custom="1">
              <x14:cfvo type="percent">
                <xm:f>0</xm:f>
              </x14:cfvo>
              <x14:cfvo type="formula">
                <xm:f>$F$77-0.001</xm:f>
              </x14:cfvo>
              <x14:cfvo type="formula" gte="0">
                <xm:f>$F$77</xm:f>
              </x14:cfvo>
              <x14:cfIcon iconSet="3Flags" iconId="0"/>
              <x14:cfIcon iconSet="NoIcons" iconId="0"/>
              <x14:cfIcon iconSet="3Flags" iconId="2"/>
            </x14:iconSet>
          </x14:cfRule>
          <xm:sqref>D77</xm:sqref>
        </x14:conditionalFormatting>
        <x14:conditionalFormatting xmlns:xm="http://schemas.microsoft.com/office/excel/2006/main">
          <x14:cfRule type="iconSet" priority="184" id="{0928C51F-B777-4F96-A28C-32DE67836C54}">
            <x14:iconSet iconSet="3Flags" custom="1">
              <x14:cfvo type="percent">
                <xm:f>0</xm:f>
              </x14:cfvo>
              <x14:cfvo type="formula">
                <xm:f>$F$79-0.001%</xm:f>
              </x14:cfvo>
              <x14:cfvo type="formula" gte="0">
                <xm:f>$F$79</xm:f>
              </x14:cfvo>
              <x14:cfIcon iconSet="3Flags" iconId="2"/>
              <x14:cfIcon iconSet="NoIcons" iconId="0"/>
              <x14:cfIcon iconSet="3Flags" iconId="0"/>
            </x14:iconSet>
          </x14:cfRule>
          <xm:sqref>D79</xm:sqref>
        </x14:conditionalFormatting>
        <x14:conditionalFormatting xmlns:xm="http://schemas.microsoft.com/office/excel/2006/main">
          <x14:cfRule type="iconSet" priority="183" id="{23B1F36A-2E42-4E90-A30F-801B550CF67B}">
            <x14:iconSet iconSet="3Flags" custom="1">
              <x14:cfvo type="percent">
                <xm:f>0</xm:f>
              </x14:cfvo>
              <x14:cfvo type="formula">
                <xm:f>$F$80-0.001%</xm:f>
              </x14:cfvo>
              <x14:cfvo type="formula" gte="0">
                <xm:f>$F$80</xm:f>
              </x14:cfvo>
              <x14:cfIcon iconSet="3Flags" iconId="0"/>
              <x14:cfIcon iconSet="NoIcons" iconId="0"/>
              <x14:cfIcon iconSet="3Flags" iconId="2"/>
            </x14:iconSet>
          </x14:cfRule>
          <xm:sqref>D80</xm:sqref>
        </x14:conditionalFormatting>
        <x14:conditionalFormatting xmlns:xm="http://schemas.microsoft.com/office/excel/2006/main">
          <x14:cfRule type="iconSet" priority="182" id="{0184B03B-30F9-48B5-96CE-F25DEE300508}">
            <x14:iconSet iconSet="3Flags" custom="1">
              <x14:cfvo type="percent">
                <xm:f>0</xm:f>
              </x14:cfvo>
              <x14:cfvo type="formula">
                <xm:f>$F$81-0.001%</xm:f>
              </x14:cfvo>
              <x14:cfvo type="formula" gte="0">
                <xm:f>$F$81</xm:f>
              </x14:cfvo>
              <x14:cfIcon iconSet="3Flags" iconId="0"/>
              <x14:cfIcon iconSet="NoIcons" iconId="0"/>
              <x14:cfIcon iconSet="3Flags" iconId="2"/>
            </x14:iconSet>
          </x14:cfRule>
          <xm:sqref>D81</xm:sqref>
        </x14:conditionalFormatting>
        <x14:conditionalFormatting xmlns:xm="http://schemas.microsoft.com/office/excel/2006/main">
          <x14:cfRule type="iconSet" priority="171" id="{F66EC40F-6BD2-4ACE-8115-A75B04D4616A}">
            <x14:iconSet iconSet="3Flags" custom="1">
              <x14:cfvo type="percent">
                <xm:f>0</xm:f>
              </x14:cfvo>
              <x14:cfvo type="formula">
                <xm:f>$F$83-0.001</xm:f>
              </x14:cfvo>
              <x14:cfvo type="formula" gte="0">
                <xm:f>$F$83</xm:f>
              </x14:cfvo>
              <x14:cfIcon iconSet="3Flags" iconId="2"/>
              <x14:cfIcon iconSet="NoIcons" iconId="0"/>
              <x14:cfIcon iconSet="3Flags" iconId="0"/>
            </x14:iconSet>
          </x14:cfRule>
          <xm:sqref>D83</xm:sqref>
        </x14:conditionalFormatting>
        <x14:conditionalFormatting xmlns:xm="http://schemas.microsoft.com/office/excel/2006/main">
          <x14:cfRule type="iconSet" priority="170" id="{1EB05B68-3095-4C98-B46B-BC1004DB0422}">
            <x14:iconSet iconSet="3Flags" custom="1">
              <x14:cfvo type="percent">
                <xm:f>0</xm:f>
              </x14:cfvo>
              <x14:cfvo type="formula">
                <xm:f>$F$84-0.001</xm:f>
              </x14:cfvo>
              <x14:cfvo type="formula" gte="0">
                <xm:f>$F$84</xm:f>
              </x14:cfvo>
              <x14:cfIcon iconSet="3Flags" iconId="2"/>
              <x14:cfIcon iconSet="NoIcons" iconId="0"/>
              <x14:cfIcon iconSet="3Flags" iconId="0"/>
            </x14:iconSet>
          </x14:cfRule>
          <xm:sqref>D84</xm:sqref>
        </x14:conditionalFormatting>
        <x14:conditionalFormatting xmlns:xm="http://schemas.microsoft.com/office/excel/2006/main">
          <x14:cfRule type="iconSet" priority="169" id="{FAEFC0A1-A81A-4CA6-B105-A2737E012239}">
            <x14:iconSet iconSet="3Flags" custom="1">
              <x14:cfvo type="percent">
                <xm:f>0</xm:f>
              </x14:cfvo>
              <x14:cfvo type="formula">
                <xm:f>$F$85-0.001</xm:f>
              </x14:cfvo>
              <x14:cfvo type="formula" gte="0">
                <xm:f>$F$85</xm:f>
              </x14:cfvo>
              <x14:cfIcon iconSet="3Flags" iconId="2"/>
              <x14:cfIcon iconSet="NoIcons" iconId="0"/>
              <x14:cfIcon iconSet="3Flags" iconId="0"/>
            </x14:iconSet>
          </x14:cfRule>
          <xm:sqref>D85</xm:sqref>
        </x14:conditionalFormatting>
        <x14:conditionalFormatting xmlns:xm="http://schemas.microsoft.com/office/excel/2006/main">
          <x14:cfRule type="iconSet" priority="168" id="{EA970E0A-D3F2-4893-9F4F-16776BC92EB0}">
            <x14:iconSet iconSet="3Flags" custom="1">
              <x14:cfvo type="percent">
                <xm:f>0</xm:f>
              </x14:cfvo>
              <x14:cfvo type="formula">
                <xm:f>$F$86-0.001</xm:f>
              </x14:cfvo>
              <x14:cfvo type="formula" gte="0">
                <xm:f>$F$86</xm:f>
              </x14:cfvo>
              <x14:cfIcon iconSet="3Flags" iconId="2"/>
              <x14:cfIcon iconSet="NoIcons" iconId="0"/>
              <x14:cfIcon iconSet="3Flags" iconId="0"/>
            </x14:iconSet>
          </x14:cfRule>
          <xm:sqref>D86</xm:sqref>
        </x14:conditionalFormatting>
        <x14:conditionalFormatting xmlns:xm="http://schemas.microsoft.com/office/excel/2006/main">
          <x14:cfRule type="iconSet" priority="167" id="{5DA211E1-50B6-49EB-A213-B6F26880FF80}">
            <x14:iconSet iconSet="3Flags" custom="1">
              <x14:cfvo type="percent">
                <xm:f>0</xm:f>
              </x14:cfvo>
              <x14:cfvo type="formula">
                <xm:f>$F$87-0.001</xm:f>
              </x14:cfvo>
              <x14:cfvo type="formula" gte="0">
                <xm:f>$F$87</xm:f>
              </x14:cfvo>
              <x14:cfIcon iconSet="3Flags" iconId="2"/>
              <x14:cfIcon iconSet="NoIcons" iconId="0"/>
              <x14:cfIcon iconSet="3Flags" iconId="0"/>
            </x14:iconSet>
          </x14:cfRule>
          <xm:sqref>D87</xm:sqref>
        </x14:conditionalFormatting>
        <x14:conditionalFormatting xmlns:xm="http://schemas.microsoft.com/office/excel/2006/main">
          <x14:cfRule type="iconSet" priority="166" id="{8519FC08-677D-4056-B085-B37DFCEAE2A0}">
            <x14:iconSet iconSet="3Flags" custom="1">
              <x14:cfvo type="percent">
                <xm:f>0</xm:f>
              </x14:cfvo>
              <x14:cfvo type="formula">
                <xm:f>$F$88-0.001</xm:f>
              </x14:cfvo>
              <x14:cfvo type="formula" gte="0">
                <xm:f>$F$88</xm:f>
              </x14:cfvo>
              <x14:cfIcon iconSet="3Flags" iconId="2"/>
              <x14:cfIcon iconSet="NoIcons" iconId="0"/>
              <x14:cfIcon iconSet="3Flags" iconId="0"/>
            </x14:iconSet>
          </x14:cfRule>
          <xm:sqref>D88</xm:sqref>
        </x14:conditionalFormatting>
        <x14:conditionalFormatting xmlns:xm="http://schemas.microsoft.com/office/excel/2006/main">
          <x14:cfRule type="iconSet" priority="165" id="{A084AEB5-422E-483C-854D-807189667C22}">
            <x14:iconSet iconSet="3Flags" custom="1">
              <x14:cfvo type="percent">
                <xm:f>0</xm:f>
              </x14:cfvo>
              <x14:cfvo type="formula">
                <xm:f>$F$89-0.001</xm:f>
              </x14:cfvo>
              <x14:cfvo type="formula" gte="0">
                <xm:f>$F$89</xm:f>
              </x14:cfvo>
              <x14:cfIcon iconSet="3Flags" iconId="2"/>
              <x14:cfIcon iconSet="NoIcons" iconId="0"/>
              <x14:cfIcon iconSet="3Flags" iconId="0"/>
            </x14:iconSet>
          </x14:cfRule>
          <xm:sqref>D89</xm:sqref>
        </x14:conditionalFormatting>
        <x14:conditionalFormatting xmlns:xm="http://schemas.microsoft.com/office/excel/2006/main">
          <x14:cfRule type="iconSet" priority="164" id="{54EFAE7C-7E80-4857-83C6-31E26D62B954}">
            <x14:iconSet iconSet="3Flags" custom="1">
              <x14:cfvo type="percent">
                <xm:f>0</xm:f>
              </x14:cfvo>
              <x14:cfvo type="formula">
                <xm:f>$F$90-0.001</xm:f>
              </x14:cfvo>
              <x14:cfvo type="formula" gte="0">
                <xm:f>$F$90</xm:f>
              </x14:cfvo>
              <x14:cfIcon iconSet="3Flags" iconId="2"/>
              <x14:cfIcon iconSet="NoIcons" iconId="0"/>
              <x14:cfIcon iconSet="3Flags" iconId="0"/>
            </x14:iconSet>
          </x14:cfRule>
          <xm:sqref>D90</xm:sqref>
        </x14:conditionalFormatting>
        <x14:conditionalFormatting xmlns:xm="http://schemas.microsoft.com/office/excel/2006/main">
          <x14:cfRule type="iconSet" priority="163" id="{FC41086C-634A-42A6-8060-ABE2D88ABF16}">
            <x14:iconSet iconSet="3Flags" custom="1">
              <x14:cfvo type="percent">
                <xm:f>0</xm:f>
              </x14:cfvo>
              <x14:cfvo type="formula">
                <xm:f>$F$91-0.001</xm:f>
              </x14:cfvo>
              <x14:cfvo type="formula" gte="0">
                <xm:f>$F$91</xm:f>
              </x14:cfvo>
              <x14:cfIcon iconSet="3Flags" iconId="2"/>
              <x14:cfIcon iconSet="NoIcons" iconId="0"/>
              <x14:cfIcon iconSet="3Flags" iconId="0"/>
            </x14:iconSet>
          </x14:cfRule>
          <xm:sqref>D91</xm:sqref>
        </x14:conditionalFormatting>
        <x14:conditionalFormatting xmlns:xm="http://schemas.microsoft.com/office/excel/2006/main">
          <x14:cfRule type="iconSet" priority="162" id="{F1E0FB0F-A77D-4741-9777-B27855CBB300}">
            <x14:iconSet iconSet="3Flags" custom="1">
              <x14:cfvo type="percent">
                <xm:f>0</xm:f>
              </x14:cfvo>
              <x14:cfvo type="formula">
                <xm:f>$F$92-0.001</xm:f>
              </x14:cfvo>
              <x14:cfvo type="formula" gte="0">
                <xm:f>$F$92</xm:f>
              </x14:cfvo>
              <x14:cfIcon iconSet="3Flags" iconId="2"/>
              <x14:cfIcon iconSet="NoIcons" iconId="0"/>
              <x14:cfIcon iconSet="3Flags" iconId="0"/>
            </x14:iconSet>
          </x14:cfRule>
          <xm:sqref>D92</xm:sqref>
        </x14:conditionalFormatting>
        <x14:conditionalFormatting xmlns:xm="http://schemas.microsoft.com/office/excel/2006/main">
          <x14:cfRule type="iconSet" priority="160" id="{B0217339-3401-434C-824B-21653EF70CBE}">
            <x14:iconSet iconSet="3Flags" custom="1">
              <x14:cfvo type="percent">
                <xm:f>0</xm:f>
              </x14:cfvo>
              <x14:cfvo type="formula">
                <xm:f>$F$115-0.001</xm:f>
              </x14:cfvo>
              <x14:cfvo type="formula" gte="0">
                <xm:f>$F$115</xm:f>
              </x14:cfvo>
              <x14:cfIcon iconSet="3Flags" iconId="0"/>
              <x14:cfIcon iconSet="NoIcons" iconId="0"/>
              <x14:cfIcon iconSet="3Flags" iconId="2"/>
            </x14:iconSet>
          </x14:cfRule>
          <xm:sqref>D115</xm:sqref>
        </x14:conditionalFormatting>
        <x14:conditionalFormatting xmlns:xm="http://schemas.microsoft.com/office/excel/2006/main">
          <x14:cfRule type="iconSet" priority="158" id="{6187728B-B7E0-4936-B043-8D897F521DF8}">
            <x14:iconSet iconSet="3Flags" custom="1">
              <x14:cfvo type="percent">
                <xm:f>0</xm:f>
              </x14:cfvo>
              <x14:cfvo type="formula">
                <xm:f>$F$128-0.001</xm:f>
              </x14:cfvo>
              <x14:cfvo type="formula" gte="0">
                <xm:f>$F$128</xm:f>
              </x14:cfvo>
              <x14:cfIcon iconSet="3Flags" iconId="0"/>
              <x14:cfIcon iconSet="NoIcons" iconId="0"/>
              <x14:cfIcon iconSet="3Flags" iconId="2"/>
            </x14:iconSet>
          </x14:cfRule>
          <xm:sqref>D128</xm:sqref>
        </x14:conditionalFormatting>
        <x14:conditionalFormatting xmlns:xm="http://schemas.microsoft.com/office/excel/2006/main">
          <x14:cfRule type="iconSet" priority="2" id="{D7AC6658-2212-4104-B974-6548CF292C9A}">
            <x14:iconSet iconSet="3Flags" custom="1">
              <x14:cfvo type="percent">
                <xm:f>0</xm:f>
              </x14:cfvo>
              <x14:cfvo type="formula">
                <xm:f>$D$129-0.001</xm:f>
              </x14:cfvo>
              <x14:cfvo type="formula" gte="0">
                <xm:f>$D$129</xm:f>
              </x14:cfvo>
              <x14:cfIcon iconSet="3Flags" iconId="0"/>
              <x14:cfIcon iconSet="NoIcons" iconId="0"/>
              <x14:cfIcon iconSet="3Flags" iconId="2"/>
            </x14:iconSet>
          </x14:cfRule>
          <xm:sqref>D129</xm:sqref>
        </x14:conditionalFormatting>
        <x14:conditionalFormatting xmlns:xm="http://schemas.microsoft.com/office/excel/2006/main">
          <x14:cfRule type="iconSet" priority="8" id="{19B6C8A8-C95C-4539-9350-69D378BAE666}">
            <x14:iconSet iconSet="3Flags" custom="1">
              <x14:cfvo type="percent">
                <xm:f>0</xm:f>
              </x14:cfvo>
              <x14:cfvo type="formula">
                <xm:f>$D$159-0.001</xm:f>
              </x14:cfvo>
              <x14:cfvo type="formula" gte="0">
                <xm:f>$D$148</xm:f>
              </x14:cfvo>
              <x14:cfIcon iconSet="3Flags" iconId="2"/>
              <x14:cfIcon iconSet="NoIcons" iconId="0"/>
              <x14:cfIcon iconSet="3Flags" iconId="0"/>
            </x14:iconSet>
          </x14:cfRule>
          <xm:sqref>D148</xm:sqref>
        </x14:conditionalFormatting>
        <x14:conditionalFormatting xmlns:xm="http://schemas.microsoft.com/office/excel/2006/main">
          <x14:cfRule type="iconSet" priority="5" id="{06F484C8-492F-49B9-A376-B97365765BCF}">
            <x14:iconSet iconSet="3Flags" custom="1">
              <x14:cfvo type="percent">
                <xm:f>0</xm:f>
              </x14:cfvo>
              <x14:cfvo type="formula">
                <xm:f>$D$159-0.001</xm:f>
              </x14:cfvo>
              <x14:cfvo type="formula" gte="0">
                <xm:f>$D$148</xm:f>
              </x14:cfvo>
              <x14:cfIcon iconSet="3Flags" iconId="2"/>
              <x14:cfIcon iconSet="NoIcons" iconId="0"/>
              <x14:cfIcon iconSet="3Flags" iconId="0"/>
            </x14:iconSet>
          </x14:cfRule>
          <xm:sqref>D168:D169</xm:sqref>
        </x14:conditionalFormatting>
        <x14:conditionalFormatting xmlns:xm="http://schemas.microsoft.com/office/excel/2006/main">
          <x14:cfRule type="iconSet" priority="148" id="{AA1B8A4B-CD16-43FD-9156-3753963093C4}">
            <x14:iconSet iconSet="3Flags" custom="1">
              <x14:cfvo type="percent">
                <xm:f>0</xm:f>
              </x14:cfvo>
              <x14:cfvo type="formula">
                <xm:f>$F$180-0.001</xm:f>
              </x14:cfvo>
              <x14:cfvo type="formula" gte="0">
                <xm:f>$F$180</xm:f>
              </x14:cfvo>
              <x14:cfIcon iconSet="3Flags" iconId="0"/>
              <x14:cfIcon iconSet="NoIcons" iconId="0"/>
              <x14:cfIcon iconSet="3Flags" iconId="2"/>
            </x14:iconSet>
          </x14:cfRule>
          <xm:sqref>D180</xm:sqref>
        </x14:conditionalFormatting>
        <x14:conditionalFormatting xmlns:xm="http://schemas.microsoft.com/office/excel/2006/main">
          <x14:cfRule type="iconSet" priority="146" id="{198D3D0D-8A46-4133-AF9E-D45D4175A4C0}">
            <x14:iconSet iconSet="3Flags" custom="1">
              <x14:cfvo type="percent">
                <xm:f>0</xm:f>
              </x14:cfvo>
              <x14:cfvo type="formula">
                <xm:f>$F$187-0.001</xm:f>
              </x14:cfvo>
              <x14:cfvo type="formula" gte="0">
                <xm:f>$F$187</xm:f>
              </x14:cfvo>
              <x14:cfIcon iconSet="3Flags" iconId="0"/>
              <x14:cfIcon iconSet="NoIcons" iconId="0"/>
              <x14:cfIcon iconSet="3Flags" iconId="2"/>
            </x14:iconSet>
          </x14:cfRule>
          <xm:sqref>D187</xm:sqref>
        </x14:conditionalFormatting>
        <x14:conditionalFormatting xmlns:xm="http://schemas.microsoft.com/office/excel/2006/main">
          <x14:cfRule type="iconSet" priority="144" id="{C85AD008-1C61-4B77-824B-BA245F010991}">
            <x14:iconSet iconSet="3Flags" custom="1">
              <x14:cfvo type="percent">
                <xm:f>0</xm:f>
              </x14:cfvo>
              <x14:cfvo type="formula">
                <xm:f>$F$189-0.001</xm:f>
              </x14:cfvo>
              <x14:cfvo type="formula" gte="0">
                <xm:f>$F$189</xm:f>
              </x14:cfvo>
              <x14:cfIcon iconSet="3Flags" iconId="0"/>
              <x14:cfIcon iconSet="NoIcons" iconId="0"/>
              <x14:cfIcon iconSet="3Flags" iconId="2"/>
            </x14:iconSet>
          </x14:cfRule>
          <xm:sqref>D189</xm:sqref>
        </x14:conditionalFormatting>
        <x14:conditionalFormatting xmlns:xm="http://schemas.microsoft.com/office/excel/2006/main">
          <x14:cfRule type="iconSet" priority="142" id="{992FE713-DD84-45E6-8C3B-2266ED86A179}">
            <x14:iconSet iconSet="3Flags" custom="1">
              <x14:cfvo type="percent">
                <xm:f>0</xm:f>
              </x14:cfvo>
              <x14:cfvo type="formula">
                <xm:f>$F$190-0.001</xm:f>
              </x14:cfvo>
              <x14:cfvo type="formula" gte="0">
                <xm:f>$F$190</xm:f>
              </x14:cfvo>
              <x14:cfIcon iconSet="3Flags" iconId="0"/>
              <x14:cfIcon iconSet="NoIcons" iconId="0"/>
              <x14:cfIcon iconSet="3Flags" iconId="2"/>
            </x14:iconSet>
          </x14:cfRule>
          <xm:sqref>D190</xm:sqref>
        </x14:conditionalFormatting>
        <x14:conditionalFormatting xmlns:xm="http://schemas.microsoft.com/office/excel/2006/main">
          <x14:cfRule type="iconSet" priority="140" id="{02D9470C-03CF-4AC5-8A97-9E3A7827BBD3}">
            <x14:iconSet iconSet="3Flags" custom="1">
              <x14:cfvo type="percent">
                <xm:f>0</xm:f>
              </x14:cfvo>
              <x14:cfvo type="formula">
                <xm:f>$F$201-0.001</xm:f>
              </x14:cfvo>
              <x14:cfvo type="formula" gte="0">
                <xm:f>$F$201</xm:f>
              </x14:cfvo>
              <x14:cfIcon iconSet="3Flags" iconId="0"/>
              <x14:cfIcon iconSet="NoIcons" iconId="0"/>
              <x14:cfIcon iconSet="3Flags" iconId="2"/>
            </x14:iconSet>
          </x14:cfRule>
          <xm:sqref>D201</xm:sqref>
        </x14:conditionalFormatting>
        <x14:conditionalFormatting xmlns:xm="http://schemas.microsoft.com/office/excel/2006/main">
          <x14:cfRule type="iconSet" priority="138" id="{2FCE0500-8BE4-4DA6-8F72-AC4296CF301E}">
            <x14:iconSet iconSet="3Flags" custom="1">
              <x14:cfvo type="percent">
                <xm:f>0</xm:f>
              </x14:cfvo>
              <x14:cfvo type="formula">
                <xm:f>$F$205-0.001</xm:f>
              </x14:cfvo>
              <x14:cfvo type="formula" gte="0">
                <xm:f>$F$205</xm:f>
              </x14:cfvo>
              <x14:cfIcon iconSet="3Flags" iconId="0"/>
              <x14:cfIcon iconSet="NoIcons" iconId="0"/>
              <x14:cfIcon iconSet="3Flags" iconId="2"/>
            </x14:iconSet>
          </x14:cfRule>
          <xm:sqref>D205</xm:sqref>
        </x14:conditionalFormatting>
        <x14:conditionalFormatting xmlns:xm="http://schemas.microsoft.com/office/excel/2006/main">
          <x14:cfRule type="iconSet" priority="136" id="{F4F3476E-039D-4816-B111-148A86E4097F}">
            <x14:iconSet iconSet="3Flags" custom="1">
              <x14:cfvo type="percent">
                <xm:f>0</xm:f>
              </x14:cfvo>
              <x14:cfvo type="formula">
                <xm:f>$F$209-0.001</xm:f>
              </x14:cfvo>
              <x14:cfvo type="formula" gte="0">
                <xm:f>$F$209</xm:f>
              </x14:cfvo>
              <x14:cfIcon iconSet="3Flags" iconId="0"/>
              <x14:cfIcon iconSet="NoIcons" iconId="0"/>
              <x14:cfIcon iconSet="3Flags" iconId="2"/>
            </x14:iconSet>
          </x14:cfRule>
          <xm:sqref>D209</xm:sqref>
        </x14:conditionalFormatting>
        <x14:conditionalFormatting xmlns:xm="http://schemas.microsoft.com/office/excel/2006/main">
          <x14:cfRule type="iconSet" priority="134" id="{6FCEBFA2-EE1E-42D0-AB8E-E14B0A956F56}">
            <x14:iconSet iconSet="3Flags" custom="1">
              <x14:cfvo type="percent">
                <xm:f>0</xm:f>
              </x14:cfvo>
              <x14:cfvo type="formula">
                <xm:f>$F$212-0.001</xm:f>
              </x14:cfvo>
              <x14:cfvo type="formula" gte="0">
                <xm:f>$F$212</xm:f>
              </x14:cfvo>
              <x14:cfIcon iconSet="3Flags" iconId="0"/>
              <x14:cfIcon iconSet="NoIcons" iconId="0"/>
              <x14:cfIcon iconSet="3Flags" iconId="2"/>
            </x14:iconSet>
          </x14:cfRule>
          <xm:sqref>D212</xm:sqref>
        </x14:conditionalFormatting>
        <x14:conditionalFormatting xmlns:xm="http://schemas.microsoft.com/office/excel/2006/main">
          <x14:cfRule type="iconSet" priority="132" id="{76539B96-FBD6-4531-AB9D-52E8A3524805}">
            <x14:iconSet iconSet="3Flags" custom="1">
              <x14:cfvo type="percent">
                <xm:f>0</xm:f>
              </x14:cfvo>
              <x14:cfvo type="formula">
                <xm:f>$F$217-0.001</xm:f>
              </x14:cfvo>
              <x14:cfvo type="formula" gte="0">
                <xm:f>$F$217</xm:f>
              </x14:cfvo>
              <x14:cfIcon iconSet="3Flags" iconId="0"/>
              <x14:cfIcon iconSet="NoIcons" iconId="0"/>
              <x14:cfIcon iconSet="3Flags" iconId="2"/>
            </x14:iconSet>
          </x14:cfRule>
          <xm:sqref>D217</xm:sqref>
        </x14:conditionalFormatting>
        <x14:conditionalFormatting xmlns:xm="http://schemas.microsoft.com/office/excel/2006/main">
          <x14:cfRule type="iconSet" priority="128" id="{E981E8FC-2F63-4A06-A46B-0B4135E192A7}">
            <x14:iconSet iconSet="3Flags" custom="1">
              <x14:cfvo type="percent">
                <xm:f>0</xm:f>
              </x14:cfvo>
              <x14:cfvo type="formula">
                <xm:f>$F$224-0.001</xm:f>
              </x14:cfvo>
              <x14:cfvo type="formula" gte="0">
                <xm:f>$F$224</xm:f>
              </x14:cfvo>
              <x14:cfIcon iconSet="3Flags" iconId="2"/>
              <x14:cfIcon iconSet="NoIcons" iconId="0"/>
              <x14:cfIcon iconSet="3Flags" iconId="0"/>
            </x14:iconSet>
          </x14:cfRule>
          <xm:sqref>D224</xm:sqref>
        </x14:conditionalFormatting>
        <x14:conditionalFormatting xmlns:xm="http://schemas.microsoft.com/office/excel/2006/main">
          <x14:cfRule type="iconSet" priority="126" id="{96FABBF2-96D5-4F42-B35A-1E4A07D5B66D}">
            <x14:iconSet iconSet="3Flags" custom="1">
              <x14:cfvo type="percent">
                <xm:f>0</xm:f>
              </x14:cfvo>
              <x14:cfvo type="formula">
                <xm:f>$F$228-0.001</xm:f>
              </x14:cfvo>
              <x14:cfvo type="formula" gte="0">
                <xm:f>$F$228</xm:f>
              </x14:cfvo>
              <x14:cfIcon iconSet="3Flags" iconId="2"/>
              <x14:cfIcon iconSet="NoIcons" iconId="0"/>
              <x14:cfIcon iconSet="3Flags" iconId="0"/>
            </x14:iconSet>
          </x14:cfRule>
          <xm:sqref>D228</xm:sqref>
        </x14:conditionalFormatting>
        <x14:conditionalFormatting xmlns:xm="http://schemas.microsoft.com/office/excel/2006/main">
          <x14:cfRule type="iconSet" priority="124" id="{06296369-5519-4773-8D1A-2EA66DD54B66}">
            <x14:iconSet iconSet="3Flags" custom="1">
              <x14:cfvo type="percent">
                <xm:f>0</xm:f>
              </x14:cfvo>
              <x14:cfvo type="formula">
                <xm:f>$F$232-0.001</xm:f>
              </x14:cfvo>
              <x14:cfvo type="formula" gte="0">
                <xm:f>$F$232</xm:f>
              </x14:cfvo>
              <x14:cfIcon iconSet="3Flags" iconId="2"/>
              <x14:cfIcon iconSet="NoIcons" iconId="0"/>
              <x14:cfIcon iconSet="3Flags" iconId="0"/>
            </x14:iconSet>
          </x14:cfRule>
          <xm:sqref>D232</xm:sqref>
        </x14:conditionalFormatting>
        <x14:conditionalFormatting xmlns:xm="http://schemas.microsoft.com/office/excel/2006/main">
          <x14:cfRule type="iconSet" priority="130" id="{723E4526-9FB5-4E13-9D6B-A76D7ACED776}">
            <x14:iconSet iconSet="3Flags" custom="1">
              <x14:cfvo type="percent">
                <xm:f>0</xm:f>
              </x14:cfvo>
              <x14:cfvo type="formula">
                <xm:f>$F$234-0.001%</xm:f>
              </x14:cfvo>
              <x14:cfvo type="formula" gte="0">
                <xm:f>$F$234</xm:f>
              </x14:cfvo>
              <x14:cfIcon iconSet="3Flags" iconId="0"/>
              <x14:cfIcon iconSet="NoIcons" iconId="0"/>
              <x14:cfIcon iconSet="3Flags" iconId="2"/>
            </x14:iconSet>
          </x14:cfRule>
          <xm:sqref>D234</xm:sqref>
        </x14:conditionalFormatting>
        <x14:conditionalFormatting xmlns:xm="http://schemas.microsoft.com/office/excel/2006/main">
          <x14:cfRule type="iconSet" priority="122" id="{5144B9AB-F237-48CB-9306-29E71348AC2F}">
            <x14:iconSet iconSet="3Flags" custom="1">
              <x14:cfvo type="percent">
                <xm:f>0</xm:f>
              </x14:cfvo>
              <x14:cfvo type="formula">
                <xm:f>$F$235-0.001%</xm:f>
              </x14:cfvo>
              <x14:cfvo type="formula" gte="0">
                <xm:f>$F$235</xm:f>
              </x14:cfvo>
              <x14:cfIcon iconSet="3Flags" iconId="0"/>
              <x14:cfIcon iconSet="NoIcons" iconId="0"/>
              <x14:cfIcon iconSet="3Flags" iconId="2"/>
            </x14:iconSet>
          </x14:cfRule>
          <xm:sqref>D235</xm:sqref>
        </x14:conditionalFormatting>
        <x14:conditionalFormatting xmlns:xm="http://schemas.microsoft.com/office/excel/2006/main">
          <x14:cfRule type="iconSet" priority="120" id="{5F2AAA8C-EDA3-428D-8458-0A2FFBA99EE4}">
            <x14:iconSet iconSet="3Flags" custom="1">
              <x14:cfvo type="percent">
                <xm:f>0</xm:f>
              </x14:cfvo>
              <x14:cfvo type="formula">
                <xm:f>$F$236-0.001%</xm:f>
              </x14:cfvo>
              <x14:cfvo type="formula" gte="0">
                <xm:f>$F$236</xm:f>
              </x14:cfvo>
              <x14:cfIcon iconSet="3Flags" iconId="2"/>
              <x14:cfIcon iconSet="NoIcons" iconId="0"/>
              <x14:cfIcon iconSet="3Flags" iconId="0"/>
            </x14:iconSet>
          </x14:cfRule>
          <xm:sqref>D236</xm:sqref>
        </x14:conditionalFormatting>
        <x14:conditionalFormatting xmlns:xm="http://schemas.microsoft.com/office/excel/2006/main">
          <x14:cfRule type="iconSet" priority="118" id="{1D52D6B4-AC54-481F-A99D-971B7B4A42D3}">
            <x14:iconSet iconSet="3Flags" custom="1">
              <x14:cfvo type="percent">
                <xm:f>0</xm:f>
              </x14:cfvo>
              <x14:cfvo type="formula">
                <xm:f>$F$237-0.001%</xm:f>
              </x14:cfvo>
              <x14:cfvo type="formula" gte="0">
                <xm:f>$F$237</xm:f>
              </x14:cfvo>
              <x14:cfIcon iconSet="3Flags" iconId="0"/>
              <x14:cfIcon iconSet="NoIcons" iconId="0"/>
              <x14:cfIcon iconSet="3Flags" iconId="2"/>
            </x14:iconSet>
          </x14:cfRule>
          <xm:sqref>D237</xm:sqref>
        </x14:conditionalFormatting>
        <x14:conditionalFormatting xmlns:xm="http://schemas.microsoft.com/office/excel/2006/main">
          <x14:cfRule type="iconSet" priority="116" id="{1D0E427B-D26B-4F1B-9C97-A72EEEA175F0}">
            <x14:iconSet iconSet="3Flags" custom="1">
              <x14:cfvo type="percent">
                <xm:f>0</xm:f>
              </x14:cfvo>
              <x14:cfvo type="formula">
                <xm:f>$F$239-0.001%</xm:f>
              </x14:cfvo>
              <x14:cfvo type="formula" gte="0">
                <xm:f>$F$239</xm:f>
              </x14:cfvo>
              <x14:cfIcon iconSet="3Flags" iconId="0"/>
              <x14:cfIcon iconSet="NoIcons" iconId="0"/>
              <x14:cfIcon iconSet="3Flags" iconId="2"/>
            </x14:iconSet>
          </x14:cfRule>
          <xm:sqref>D239</xm:sqref>
        </x14:conditionalFormatting>
        <x14:conditionalFormatting xmlns:xm="http://schemas.microsoft.com/office/excel/2006/main">
          <x14:cfRule type="iconSet" priority="114" id="{11FDA5E7-38AC-4CA8-B97D-23CF1A026AF3}">
            <x14:iconSet iconSet="3Flags" custom="1">
              <x14:cfvo type="percent">
                <xm:f>0</xm:f>
              </x14:cfvo>
              <x14:cfvo type="formula">
                <xm:f>$F$240-0.001%</xm:f>
              </x14:cfvo>
              <x14:cfvo type="formula" gte="0">
                <xm:f>$F$240</xm:f>
              </x14:cfvo>
              <x14:cfIcon iconSet="3Flags" iconId="0"/>
              <x14:cfIcon iconSet="NoIcons" iconId="0"/>
              <x14:cfIcon iconSet="3Flags" iconId="2"/>
            </x14:iconSet>
          </x14:cfRule>
          <xm:sqref>D240</xm:sqref>
        </x14:conditionalFormatting>
        <x14:conditionalFormatting xmlns:xm="http://schemas.microsoft.com/office/excel/2006/main">
          <x14:cfRule type="iconSet" priority="112" id="{ECE449DF-5135-4069-A4E9-0FB6CF59BD89}">
            <x14:iconSet iconSet="3Flags" custom="1">
              <x14:cfvo type="percent">
                <xm:f>0</xm:f>
              </x14:cfvo>
              <x14:cfvo type="formula">
                <xm:f>$F$241-0.001%</xm:f>
              </x14:cfvo>
              <x14:cfvo type="formula" gte="0">
                <xm:f>$F$241</xm:f>
              </x14:cfvo>
              <x14:cfIcon iconSet="3Flags" iconId="0"/>
              <x14:cfIcon iconSet="NoIcons" iconId="0"/>
              <x14:cfIcon iconSet="3Flags" iconId="2"/>
            </x14:iconSet>
          </x14:cfRule>
          <xm:sqref>D241</xm:sqref>
        </x14:conditionalFormatting>
        <x14:conditionalFormatting xmlns:xm="http://schemas.microsoft.com/office/excel/2006/main">
          <x14:cfRule type="iconSet" priority="110" id="{26DC4E33-4002-47A3-9A07-BFAB1A221EAB}">
            <x14:iconSet iconSet="3Flags" custom="1">
              <x14:cfvo type="percent">
                <xm:f>0</xm:f>
              </x14:cfvo>
              <x14:cfvo type="formula">
                <xm:f>$F$242-0.001%</xm:f>
              </x14:cfvo>
              <x14:cfvo type="formula" gte="0">
                <xm:f>$F$242</xm:f>
              </x14:cfvo>
              <x14:cfIcon iconSet="3Flags" iconId="0"/>
              <x14:cfIcon iconSet="NoIcons" iconId="0"/>
              <x14:cfIcon iconSet="3Flags" iconId="2"/>
            </x14:iconSet>
          </x14:cfRule>
          <xm:sqref>D242</xm:sqref>
        </x14:conditionalFormatting>
        <x14:conditionalFormatting xmlns:xm="http://schemas.microsoft.com/office/excel/2006/main">
          <x14:cfRule type="iconSet" priority="108" id="{E9778BE4-58F5-4BA6-8651-BE28022F4FF2}">
            <x14:iconSet iconSet="3Flags" custom="1">
              <x14:cfvo type="percent">
                <xm:f>0</xm:f>
              </x14:cfvo>
              <x14:cfvo type="formula">
                <xm:f>$F$243-0.001%</xm:f>
              </x14:cfvo>
              <x14:cfvo type="formula" gte="0">
                <xm:f>$F$243</xm:f>
              </x14:cfvo>
              <x14:cfIcon iconSet="3Flags" iconId="0"/>
              <x14:cfIcon iconSet="NoIcons" iconId="0"/>
              <x14:cfIcon iconSet="3Flags" iconId="2"/>
            </x14:iconSet>
          </x14:cfRule>
          <xm:sqref>D243</xm:sqref>
        </x14:conditionalFormatting>
        <x14:conditionalFormatting xmlns:xm="http://schemas.microsoft.com/office/excel/2006/main">
          <x14:cfRule type="iconSet" priority="106" id="{6CC45E1D-BB63-4A0F-ADB7-73C62450BB72}">
            <x14:iconSet iconSet="3Flags" custom="1">
              <x14:cfvo type="percent">
                <xm:f>0</xm:f>
              </x14:cfvo>
              <x14:cfvo type="formula">
                <xm:f>$F$245-0.001%</xm:f>
              </x14:cfvo>
              <x14:cfvo type="formula" gte="0">
                <xm:f>$F$245</xm:f>
              </x14:cfvo>
              <x14:cfIcon iconSet="3Flags" iconId="2"/>
              <x14:cfIcon iconSet="NoIcons" iconId="0"/>
              <x14:cfIcon iconSet="3Flags" iconId="0"/>
            </x14:iconSet>
          </x14:cfRule>
          <xm:sqref>D245</xm:sqref>
        </x14:conditionalFormatting>
        <x14:conditionalFormatting xmlns:xm="http://schemas.microsoft.com/office/excel/2006/main">
          <x14:cfRule type="iconSet" priority="104" id="{942E9A54-1D58-4DB9-8654-41B365FAF2B3}">
            <x14:iconSet iconSet="3Flags" custom="1">
              <x14:cfvo type="percent">
                <xm:f>0</xm:f>
              </x14:cfvo>
              <x14:cfvo type="formula">
                <xm:f>$F$246-0.001%</xm:f>
              </x14:cfvo>
              <x14:cfvo type="formula" gte="0">
                <xm:f>$F$246</xm:f>
              </x14:cfvo>
              <x14:cfIcon iconSet="3Flags" iconId="2"/>
              <x14:cfIcon iconSet="NoIcons" iconId="0"/>
              <x14:cfIcon iconSet="3Flags" iconId="0"/>
            </x14:iconSet>
          </x14:cfRule>
          <xm:sqref>D246</xm:sqref>
        </x14:conditionalFormatting>
        <x14:conditionalFormatting xmlns:xm="http://schemas.microsoft.com/office/excel/2006/main">
          <x14:cfRule type="iconSet" priority="102" id="{48B9F973-D93A-444A-A1FA-D1D0BE21E0AB}">
            <x14:iconSet iconSet="3Flags" custom="1">
              <x14:cfvo type="percent">
                <xm:f>0</xm:f>
              </x14:cfvo>
              <x14:cfvo type="formula">
                <xm:f>$F$247-0.001</xm:f>
              </x14:cfvo>
              <x14:cfvo type="formula" gte="0">
                <xm:f>$F$247</xm:f>
              </x14:cfvo>
              <x14:cfIcon iconSet="3Flags" iconId="0"/>
              <x14:cfIcon iconSet="NoIcons" iconId="0"/>
              <x14:cfIcon iconSet="3Flags" iconId="2"/>
            </x14:iconSet>
          </x14:cfRule>
          <xm:sqref>D247</xm:sqref>
        </x14:conditionalFormatting>
        <x14:conditionalFormatting xmlns:xm="http://schemas.microsoft.com/office/excel/2006/main">
          <x14:cfRule type="iconSet" priority="100" id="{9853CF3C-099C-4E3D-8E1C-421DD6B73C0E}">
            <x14:iconSet iconSet="3Flags" custom="1">
              <x14:cfvo type="percent">
                <xm:f>0</xm:f>
              </x14:cfvo>
              <x14:cfvo type="formula">
                <xm:f>$F$248-0.001</xm:f>
              </x14:cfvo>
              <x14:cfvo type="formula" gte="0">
                <xm:f>$F$248</xm:f>
              </x14:cfvo>
              <x14:cfIcon iconSet="3Flags" iconId="0"/>
              <x14:cfIcon iconSet="NoIcons" iconId="0"/>
              <x14:cfIcon iconSet="3Flags" iconId="2"/>
            </x14:iconSet>
          </x14:cfRule>
          <xm:sqref>D248</xm:sqref>
        </x14:conditionalFormatting>
        <x14:conditionalFormatting xmlns:xm="http://schemas.microsoft.com/office/excel/2006/main">
          <x14:cfRule type="iconSet" priority="98" id="{66244CC4-B5D0-4CB4-8B33-6A7A4AB9E4F3}">
            <x14:iconSet iconSet="3Flags" custom="1">
              <x14:cfvo type="percent">
                <xm:f>0</xm:f>
              </x14:cfvo>
              <x14:cfvo type="formula">
                <xm:f>$F$249-0.001%</xm:f>
              </x14:cfvo>
              <x14:cfvo type="formula" gte="0">
                <xm:f>$F$249</xm:f>
              </x14:cfvo>
              <x14:cfIcon iconSet="3Flags" iconId="0"/>
              <x14:cfIcon iconSet="NoIcons" iconId="0"/>
              <x14:cfIcon iconSet="3Flags" iconId="2"/>
            </x14:iconSet>
          </x14:cfRule>
          <xm:sqref>D249</xm:sqref>
        </x14:conditionalFormatting>
        <x14:conditionalFormatting xmlns:xm="http://schemas.microsoft.com/office/excel/2006/main">
          <x14:cfRule type="iconSet" priority="96" id="{E63D7D22-34D4-455A-9435-AEEDE4318ADE}">
            <x14:iconSet iconSet="3Flags" custom="1">
              <x14:cfvo type="percent">
                <xm:f>0</xm:f>
              </x14:cfvo>
              <x14:cfvo type="formula">
                <xm:f>$F$251-0.001</xm:f>
              </x14:cfvo>
              <x14:cfvo type="formula" gte="0">
                <xm:f>$F$251</xm:f>
              </x14:cfvo>
              <x14:cfIcon iconSet="3Flags" iconId="0"/>
              <x14:cfIcon iconSet="NoIcons" iconId="0"/>
              <x14:cfIcon iconSet="3Flags" iconId="2"/>
            </x14:iconSet>
          </x14:cfRule>
          <xm:sqref>D251</xm:sqref>
        </x14:conditionalFormatting>
        <x14:conditionalFormatting xmlns:xm="http://schemas.microsoft.com/office/excel/2006/main">
          <x14:cfRule type="iconSet" priority="94" id="{6B2F9608-6472-4262-8379-3192CD416136}">
            <x14:iconSet iconSet="3Flags" custom="1">
              <x14:cfvo type="percent">
                <xm:f>0</xm:f>
              </x14:cfvo>
              <x14:cfvo type="formula">
                <xm:f>$F$252-0.001</xm:f>
              </x14:cfvo>
              <x14:cfvo type="formula" gte="0">
                <xm:f>$F$252</xm:f>
              </x14:cfvo>
              <x14:cfIcon iconSet="3Flags" iconId="0"/>
              <x14:cfIcon iconSet="NoIcons" iconId="0"/>
              <x14:cfIcon iconSet="3Flags" iconId="2"/>
            </x14:iconSet>
          </x14:cfRule>
          <xm:sqref>D252</xm:sqref>
        </x14:conditionalFormatting>
        <x14:conditionalFormatting xmlns:xm="http://schemas.microsoft.com/office/excel/2006/main">
          <x14:cfRule type="iconSet" priority="92" id="{A3C72873-5E50-4351-A5E6-9E49EB09AE6B}">
            <x14:iconSet iconSet="3Flags" custom="1">
              <x14:cfvo type="percent">
                <xm:f>0</xm:f>
              </x14:cfvo>
              <x14:cfvo type="formula">
                <xm:f>$F$253-0.001</xm:f>
              </x14:cfvo>
              <x14:cfvo type="formula" gte="0">
                <xm:f>$F$253</xm:f>
              </x14:cfvo>
              <x14:cfIcon iconSet="3Flags" iconId="2"/>
              <x14:cfIcon iconSet="NoIcons" iconId="0"/>
              <x14:cfIcon iconSet="3Flags" iconId="0"/>
            </x14:iconSet>
          </x14:cfRule>
          <xm:sqref>D253</xm:sqref>
        </x14:conditionalFormatting>
        <x14:conditionalFormatting xmlns:xm="http://schemas.microsoft.com/office/excel/2006/main">
          <x14:cfRule type="iconSet" priority="90" id="{0F442C77-F173-4D9A-8E5B-81DCB327F991}">
            <x14:iconSet iconSet="3Flags" custom="1">
              <x14:cfvo type="percent">
                <xm:f>0</xm:f>
              </x14:cfvo>
              <x14:cfvo type="formula">
                <xm:f>$F$254-0.001</xm:f>
              </x14:cfvo>
              <x14:cfvo type="formula" gte="0">
                <xm:f>$F$254</xm:f>
              </x14:cfvo>
              <x14:cfIcon iconSet="3Flags" iconId="2"/>
              <x14:cfIcon iconSet="NoIcons" iconId="0"/>
              <x14:cfIcon iconSet="3Flags" iconId="0"/>
            </x14:iconSet>
          </x14:cfRule>
          <xm:sqref>D254</xm:sqref>
        </x14:conditionalFormatting>
        <x14:conditionalFormatting xmlns:xm="http://schemas.microsoft.com/office/excel/2006/main">
          <x14:cfRule type="iconSet" priority="86" id="{972B0D37-80BD-418A-987F-543DAD290127}">
            <x14:iconSet iconSet="3Flags" custom="1">
              <x14:cfvo type="percent">
                <xm:f>0</xm:f>
              </x14:cfvo>
              <x14:cfvo type="formula">
                <xm:f>$F$255-0.001</xm:f>
              </x14:cfvo>
              <x14:cfvo type="formula" gte="0">
                <xm:f>$F$255</xm:f>
              </x14:cfvo>
              <x14:cfIcon iconSet="3Flags" iconId="0"/>
              <x14:cfIcon iconSet="NoIcons" iconId="0"/>
              <x14:cfIcon iconSet="3Flags" iconId="2"/>
            </x14:iconSet>
          </x14:cfRule>
          <xm:sqref>D255</xm:sqref>
        </x14:conditionalFormatting>
        <x14:conditionalFormatting xmlns:xm="http://schemas.microsoft.com/office/excel/2006/main">
          <x14:cfRule type="iconSet" priority="88" id="{9F3CC2F6-0C3C-49CA-8DCA-16747F118980}">
            <x14:iconSet iconSet="3Flags" custom="1">
              <x14:cfvo type="percent">
                <xm:f>0</xm:f>
              </x14:cfvo>
              <x14:cfvo type="formula">
                <xm:f>$F$256-0.001</xm:f>
              </x14:cfvo>
              <x14:cfvo type="formula" gte="0">
                <xm:f>$F$256</xm:f>
              </x14:cfvo>
              <x14:cfIcon iconSet="3Flags" iconId="2"/>
              <x14:cfIcon iconSet="NoIcons" iconId="0"/>
              <x14:cfIcon iconSet="3Flags" iconId="0"/>
            </x14:iconSet>
          </x14:cfRule>
          <xm:sqref>D256</xm:sqref>
        </x14:conditionalFormatting>
        <x14:conditionalFormatting xmlns:xm="http://schemas.microsoft.com/office/excel/2006/main">
          <x14:cfRule type="iconSet" priority="84" id="{A871DAC5-42D0-43F5-8A27-443B73B2F333}">
            <x14:iconSet iconSet="3Flags" custom="1">
              <x14:cfvo type="percent">
                <xm:f>0</xm:f>
              </x14:cfvo>
              <x14:cfvo type="formula">
                <xm:f>$F$258-0.001%</xm:f>
              </x14:cfvo>
              <x14:cfvo type="formula" gte="0">
                <xm:f>$F$258</xm:f>
              </x14:cfvo>
              <x14:cfIcon iconSet="3Flags" iconId="0"/>
              <x14:cfIcon iconSet="NoIcons" iconId="0"/>
              <x14:cfIcon iconSet="3Flags" iconId="2"/>
            </x14:iconSet>
          </x14:cfRule>
          <xm:sqref>D258</xm:sqref>
        </x14:conditionalFormatting>
        <x14:conditionalFormatting xmlns:xm="http://schemas.microsoft.com/office/excel/2006/main">
          <x14:cfRule type="iconSet" priority="82" id="{6B68BACC-805C-49E8-8DD2-009C63BA2816}">
            <x14:iconSet iconSet="3Flags" custom="1">
              <x14:cfvo type="percent">
                <xm:f>0</xm:f>
              </x14:cfvo>
              <x14:cfvo type="formula">
                <xm:f>$F$259-0.001%</xm:f>
              </x14:cfvo>
              <x14:cfvo type="formula" gte="0">
                <xm:f>$F$259</xm:f>
              </x14:cfvo>
              <x14:cfIcon iconSet="3Flags" iconId="0"/>
              <x14:cfIcon iconSet="NoIcons" iconId="0"/>
              <x14:cfIcon iconSet="3Flags" iconId="2"/>
            </x14:iconSet>
          </x14:cfRule>
          <xm:sqref>D259</xm:sqref>
        </x14:conditionalFormatting>
        <x14:conditionalFormatting xmlns:xm="http://schemas.microsoft.com/office/excel/2006/main">
          <x14:cfRule type="iconSet" priority="80" id="{884C0340-9509-4B39-A442-4CAD8544E61E}">
            <x14:iconSet iconSet="3Flags" custom="1">
              <x14:cfvo type="percent">
                <xm:f>0</xm:f>
              </x14:cfvo>
              <x14:cfvo type="formula">
                <xm:f>$F$260-0.001%</xm:f>
              </x14:cfvo>
              <x14:cfvo type="formula" gte="0">
                <xm:f>$F$260</xm:f>
              </x14:cfvo>
              <x14:cfIcon iconSet="3Flags" iconId="0"/>
              <x14:cfIcon iconSet="NoIcons" iconId="0"/>
              <x14:cfIcon iconSet="3Flags" iconId="2"/>
            </x14:iconSet>
          </x14:cfRule>
          <xm:sqref>D260</xm:sqref>
        </x14:conditionalFormatting>
        <x14:conditionalFormatting xmlns:xm="http://schemas.microsoft.com/office/excel/2006/main">
          <x14:cfRule type="iconSet" priority="9" id="{8793A1BF-4473-4ACF-AE4F-2A598ADCEFF4}">
            <x14:iconSet iconSet="3Flags" custom="1">
              <x14:cfvo type="percent">
                <xm:f>0</xm:f>
              </x14:cfvo>
              <x14:cfvo type="formula">
                <xm:f>$F$260-0.001%</xm:f>
              </x14:cfvo>
              <x14:cfvo type="formula" gte="0">
                <xm:f>$F$260</xm:f>
              </x14:cfvo>
              <x14:cfIcon iconSet="3Flags" iconId="0"/>
              <x14:cfIcon iconSet="NoIcons" iconId="0"/>
              <x14:cfIcon iconSet="3Flags" iconId="2"/>
            </x14:iconSet>
          </x14:cfRule>
          <xm:sqref>D261</xm:sqref>
        </x14:conditionalFormatting>
        <x14:conditionalFormatting xmlns:xm="http://schemas.microsoft.com/office/excel/2006/main">
          <x14:cfRule type="iconSet" priority="20" id="{40C6D204-D625-4E60-BBB3-5809E0CD3CB6}">
            <x14:iconSet iconSet="3Flags" custom="1">
              <x14:cfvo type="percent">
                <xm:f>0</xm:f>
              </x14:cfvo>
              <x14:cfvo type="formula">
                <xm:f>$F$50-0.001</xm:f>
              </x14:cfvo>
              <x14:cfvo type="formula" gte="0">
                <xm:f>$F$50</xm:f>
              </x14:cfvo>
              <x14:cfIcon iconSet="3Flags" iconId="0"/>
              <x14:cfIcon iconSet="NoIcons" iconId="0"/>
              <x14:cfIcon iconSet="3Flags" iconId="2"/>
            </x14:iconSet>
          </x14:cfRule>
          <xm:sqref>F50</xm:sqref>
        </x14:conditionalFormatting>
        <x14:conditionalFormatting xmlns:xm="http://schemas.microsoft.com/office/excel/2006/main">
          <x14:cfRule type="iconSet" priority="19" id="{76F577A6-49F2-45C3-A321-4BE8058B45A1}">
            <x14:iconSet iconSet="3Flags" custom="1">
              <x14:cfvo type="percent">
                <xm:f>0</xm:f>
              </x14:cfvo>
              <x14:cfvo type="formula">
                <xm:f>$F$51-0.001</xm:f>
              </x14:cfvo>
              <x14:cfvo type="formula" gte="0">
                <xm:f>$F$51</xm:f>
              </x14:cfvo>
              <x14:cfIcon iconSet="3Flags" iconId="0"/>
              <x14:cfIcon iconSet="NoIcons" iconId="0"/>
              <x14:cfIcon iconSet="3Flags" iconId="2"/>
            </x14:iconSet>
          </x14:cfRule>
          <xm:sqref>F51</xm:sqref>
        </x14:conditionalFormatting>
        <x14:conditionalFormatting xmlns:xm="http://schemas.microsoft.com/office/excel/2006/main">
          <x14:cfRule type="iconSet" priority="18" id="{B0DFD14F-ADF6-48C2-93D6-AF2661F6B641}">
            <x14:iconSet iconSet="3Flags" custom="1">
              <x14:cfvo type="percent">
                <xm:f>0</xm:f>
              </x14:cfvo>
              <x14:cfvo type="formula">
                <xm:f>$F$52-0.001</xm:f>
              </x14:cfvo>
              <x14:cfvo type="formula" gte="0">
                <xm:f>$F$52</xm:f>
              </x14:cfvo>
              <x14:cfIcon iconSet="3Flags" iconId="2"/>
              <x14:cfIcon iconSet="NoIcons" iconId="0"/>
              <x14:cfIcon iconSet="3Flags" iconId="0"/>
            </x14:iconSet>
          </x14:cfRule>
          <xm:sqref>F52</xm:sqref>
        </x14:conditionalFormatting>
        <x14:conditionalFormatting xmlns:xm="http://schemas.microsoft.com/office/excel/2006/main">
          <x14:cfRule type="iconSet" priority="15" id="{3FC53FF8-9C4E-4310-95C1-CB12943253B9}">
            <x14:iconSet iconSet="3Flags" custom="1">
              <x14:cfvo type="percent">
                <xm:f>0</xm:f>
              </x14:cfvo>
              <x14:cfvo type="formula">
                <xm:f>$F$54-0.001</xm:f>
              </x14:cfvo>
              <x14:cfvo type="formula" gte="0">
                <xm:f>$F$54</xm:f>
              </x14:cfvo>
              <x14:cfIcon iconSet="3Flags" iconId="0"/>
              <x14:cfIcon iconSet="NoIcons" iconId="0"/>
              <x14:cfIcon iconSet="3Flags" iconId="2"/>
            </x14:iconSet>
          </x14:cfRule>
          <xm:sqref>F54</xm:sqref>
        </x14:conditionalFormatting>
        <x14:conditionalFormatting xmlns:xm="http://schemas.microsoft.com/office/excel/2006/main">
          <x14:cfRule type="iconSet" priority="16" id="{FCBB5E63-DF35-4F80-AACC-CF4273876DC0}">
            <x14:iconSet iconSet="3Flags" custom="1">
              <x14:cfvo type="percent">
                <xm:f>0</xm:f>
              </x14:cfvo>
              <x14:cfvo type="formula">
                <xm:f>$F$55-0.001</xm:f>
              </x14:cfvo>
              <x14:cfvo type="formula" gte="0">
                <xm:f>$F$55</xm:f>
              </x14:cfvo>
              <x14:cfIcon iconSet="3Flags" iconId="0"/>
              <x14:cfIcon iconSet="NoIcons" iconId="0"/>
              <x14:cfIcon iconSet="3Flags" iconId="2"/>
            </x14:iconSet>
          </x14:cfRule>
          <xm:sqref>F55</xm:sqref>
        </x14:conditionalFormatting>
        <x14:conditionalFormatting xmlns:xm="http://schemas.microsoft.com/office/excel/2006/main">
          <x14:cfRule type="iconSet" priority="17" id="{5FA06557-943C-42FF-B15D-953CCC46780D}">
            <x14:iconSet iconSet="3Flags" custom="1">
              <x14:cfvo type="percent">
                <xm:f>0</xm:f>
              </x14:cfvo>
              <x14:cfvo type="formula">
                <xm:f>$F$56-0.001</xm:f>
              </x14:cfvo>
              <x14:cfvo type="formula" gte="0">
                <xm:f>$F$56</xm:f>
              </x14:cfvo>
              <x14:cfIcon iconSet="3Flags" iconId="0"/>
              <x14:cfIcon iconSet="NoIcons" iconId="0"/>
              <x14:cfIcon iconSet="3Flags" iconId="2"/>
            </x14:iconSet>
          </x14:cfRule>
          <xm:sqref>F56</xm:sqref>
        </x14:conditionalFormatting>
        <x14:conditionalFormatting xmlns:xm="http://schemas.microsoft.com/office/excel/2006/main">
          <x14:cfRule type="iconSet" priority="14" id="{EB912C5C-A539-4D0A-B32B-43996DD6E206}">
            <x14:iconSet iconSet="3Flags" custom="1">
              <x14:cfvo type="percent">
                <xm:f>0</xm:f>
              </x14:cfvo>
              <x14:cfvo type="formula">
                <xm:f>$F$57-0.001</xm:f>
              </x14:cfvo>
              <x14:cfvo type="formula" gte="0">
                <xm:f>$F$57</xm:f>
              </x14:cfvo>
              <x14:cfIcon iconSet="3Flags" iconId="0"/>
              <x14:cfIcon iconSet="NoIcons" iconId="0"/>
              <x14:cfIcon iconSet="3Flags" iconId="2"/>
            </x14:iconSet>
          </x14:cfRule>
          <xm:sqref>F57</xm:sqref>
        </x14:conditionalFormatting>
        <x14:conditionalFormatting xmlns:xm="http://schemas.microsoft.com/office/excel/2006/main">
          <x14:cfRule type="iconSet" priority="13" id="{1FA1F81A-8661-4FE1-BB0F-D22DC62ACCF2}">
            <x14:iconSet iconSet="3Flags" custom="1">
              <x14:cfvo type="percent">
                <xm:f>0</xm:f>
              </x14:cfvo>
              <x14:cfvo type="formula">
                <xm:f>$F$64-0.001%</xm:f>
              </x14:cfvo>
              <x14:cfvo type="formula" gte="0">
                <xm:f>$F$64</xm:f>
              </x14:cfvo>
              <x14:cfIcon iconSet="3Flags" iconId="0"/>
              <x14:cfIcon iconSet="NoIcons" iconId="0"/>
              <x14:cfIcon iconSet="3Flags" iconId="2"/>
            </x14:iconSet>
          </x14:cfRule>
          <xm:sqref>F64</xm:sqref>
        </x14:conditionalFormatting>
        <x14:conditionalFormatting xmlns:xm="http://schemas.microsoft.com/office/excel/2006/main">
          <x14:cfRule type="iconSet" priority="12" id="{37D1E945-6321-4E74-987F-91534D649AFD}">
            <x14:iconSet iconSet="3Flags" custom="1">
              <x14:cfvo type="percent">
                <xm:f>0</xm:f>
              </x14:cfvo>
              <x14:cfvo type="formula">
                <xm:f>$F$65-0.001%</xm:f>
              </x14:cfvo>
              <x14:cfvo type="formula" gte="0">
                <xm:f>$F$65</xm:f>
              </x14:cfvo>
              <x14:cfIcon iconSet="3Flags" iconId="0"/>
              <x14:cfIcon iconSet="NoIcons" iconId="0"/>
              <x14:cfIcon iconSet="3Flags" iconId="2"/>
            </x14:iconSet>
          </x14:cfRule>
          <xm:sqref>F65</xm:sqref>
        </x14:conditionalFormatting>
        <x14:conditionalFormatting xmlns:xm="http://schemas.microsoft.com/office/excel/2006/main">
          <x14:cfRule type="iconSet" priority="11" id="{088D3A18-9BCB-4F22-939C-F80A7C3608E4}">
            <x14:iconSet iconSet="3Flags" custom="1">
              <x14:cfvo type="percent">
                <xm:f>0</xm:f>
              </x14:cfvo>
              <x14:cfvo type="formula">
                <xm:f>$F$67-0.001%</xm:f>
              </x14:cfvo>
              <x14:cfvo type="formula" gte="0">
                <xm:f>$F$67</xm:f>
              </x14:cfvo>
              <x14:cfIcon iconSet="3Flags" iconId="0"/>
              <x14:cfIcon iconSet="NoIcons" iconId="0"/>
              <x14:cfIcon iconSet="3Flags" iconId="2"/>
            </x14:iconSet>
          </x14:cfRule>
          <xm:sqref>F67</xm:sqref>
        </x14:conditionalFormatting>
        <x14:conditionalFormatting xmlns:xm="http://schemas.microsoft.com/office/excel/2006/main">
          <x14:cfRule type="iconSet" priority="37" id="{7B8CE6C3-8DA8-4214-969C-40B6AB533A52}">
            <x14:iconSet iconSet="3Flags" custom="1">
              <x14:cfvo type="percent">
                <xm:f>0</xm:f>
              </x14:cfvo>
              <x14:cfvo type="formula">
                <xm:f>$F$72-0.001%</xm:f>
              </x14:cfvo>
              <x14:cfvo type="formula" gte="0">
                <xm:f>$F$72</xm:f>
              </x14:cfvo>
              <x14:cfIcon iconSet="3Flags" iconId="0"/>
              <x14:cfIcon iconSet="NoIcons" iconId="0"/>
              <x14:cfIcon iconSet="3Flags" iconId="2"/>
            </x14:iconSet>
          </x14:cfRule>
          <xm:sqref>F72</xm:sqref>
        </x14:conditionalFormatting>
        <x14:conditionalFormatting xmlns:xm="http://schemas.microsoft.com/office/excel/2006/main">
          <x14:cfRule type="iconSet" priority="36" id="{9940F715-CD1E-4889-929E-1B1905028000}">
            <x14:iconSet iconSet="3Flags" custom="1">
              <x14:cfvo type="percent">
                <xm:f>0</xm:f>
              </x14:cfvo>
              <x14:cfvo type="formula">
                <xm:f>$F$74-0.001%</xm:f>
              </x14:cfvo>
              <x14:cfvo type="formula" gte="0">
                <xm:f>$F$74</xm:f>
              </x14:cfvo>
              <x14:cfIcon iconSet="3Flags" iconId="0"/>
              <x14:cfIcon iconSet="NoIcons" iconId="0"/>
              <x14:cfIcon iconSet="3Flags" iconId="2"/>
            </x14:iconSet>
          </x14:cfRule>
          <xm:sqref>F74</xm:sqref>
        </x14:conditionalFormatting>
        <x14:conditionalFormatting xmlns:xm="http://schemas.microsoft.com/office/excel/2006/main">
          <x14:cfRule type="iconSet" priority="35" id="{4E3E0D15-2E81-481B-9407-8911B5C53176}">
            <x14:iconSet iconSet="3Flags" custom="1">
              <x14:cfvo type="percent">
                <xm:f>0</xm:f>
              </x14:cfvo>
              <x14:cfvo type="formula">
                <xm:f>$F$75-0.001%</xm:f>
              </x14:cfvo>
              <x14:cfvo type="formula" gte="0">
                <xm:f>$F$75</xm:f>
              </x14:cfvo>
              <x14:cfIcon iconSet="3Flags" iconId="0"/>
              <x14:cfIcon iconSet="NoIcons" iconId="0"/>
              <x14:cfIcon iconSet="3Flags" iconId="2"/>
            </x14:iconSet>
          </x14:cfRule>
          <xm:sqref>F75</xm:sqref>
        </x14:conditionalFormatting>
        <x14:conditionalFormatting xmlns:xm="http://schemas.microsoft.com/office/excel/2006/main">
          <x14:cfRule type="iconSet" priority="34" id="{51C5F1F1-E81F-423D-90B6-9BCD0CFEE5A3}">
            <x14:iconSet iconSet="3Flags" custom="1">
              <x14:cfvo type="percent">
                <xm:f>0</xm:f>
              </x14:cfvo>
              <x14:cfvo type="formula">
                <xm:f>$F$76-0.001%</xm:f>
              </x14:cfvo>
              <x14:cfvo type="formula" gte="0">
                <xm:f>$F$76</xm:f>
              </x14:cfvo>
              <x14:cfIcon iconSet="3Flags" iconId="0"/>
              <x14:cfIcon iconSet="NoIcons" iconId="0"/>
              <x14:cfIcon iconSet="3Flags" iconId="2"/>
            </x14:iconSet>
          </x14:cfRule>
          <xm:sqref>F76</xm:sqref>
        </x14:conditionalFormatting>
        <x14:conditionalFormatting xmlns:xm="http://schemas.microsoft.com/office/excel/2006/main">
          <x14:cfRule type="iconSet" priority="38" id="{1E1C3EC8-93C6-4007-8E2F-E6C332A5DD05}">
            <x14:iconSet iconSet="3Flags" custom="1">
              <x14:cfvo type="percent">
                <xm:f>0</xm:f>
              </x14:cfvo>
              <x14:cfvo type="formula">
                <xm:f>$F$77-0.001</xm:f>
              </x14:cfvo>
              <x14:cfvo type="formula" gte="0">
                <xm:f>$F$77</xm:f>
              </x14:cfvo>
              <x14:cfIcon iconSet="3Flags" iconId="0"/>
              <x14:cfIcon iconSet="NoIcons" iconId="0"/>
              <x14:cfIcon iconSet="3Flags" iconId="2"/>
            </x14:iconSet>
          </x14:cfRule>
          <xm:sqref>F77</xm:sqref>
        </x14:conditionalFormatting>
        <x14:conditionalFormatting xmlns:xm="http://schemas.microsoft.com/office/excel/2006/main">
          <x14:cfRule type="iconSet" priority="33" id="{F8E0D573-5996-47CD-A061-42B295EDC8CA}">
            <x14:iconSet iconSet="3Flags" custom="1">
              <x14:cfvo type="percent">
                <xm:f>0</xm:f>
              </x14:cfvo>
              <x14:cfvo type="formula">
                <xm:f>$F$79-0.001%</xm:f>
              </x14:cfvo>
              <x14:cfvo type="formula" gte="0">
                <xm:f>$F$79</xm:f>
              </x14:cfvo>
              <x14:cfIcon iconSet="3Flags" iconId="2"/>
              <x14:cfIcon iconSet="NoIcons" iconId="0"/>
              <x14:cfIcon iconSet="3Flags" iconId="0"/>
            </x14:iconSet>
          </x14:cfRule>
          <xm:sqref>F79</xm:sqref>
        </x14:conditionalFormatting>
        <x14:conditionalFormatting xmlns:xm="http://schemas.microsoft.com/office/excel/2006/main">
          <x14:cfRule type="iconSet" priority="32" id="{6243DA09-EE8A-45F6-AEA2-17CB08756D79}">
            <x14:iconSet iconSet="3Flags" custom="1">
              <x14:cfvo type="percent">
                <xm:f>0</xm:f>
              </x14:cfvo>
              <x14:cfvo type="formula">
                <xm:f>$F$80-0.001%</xm:f>
              </x14:cfvo>
              <x14:cfvo type="formula" gte="0">
                <xm:f>$F$80</xm:f>
              </x14:cfvo>
              <x14:cfIcon iconSet="3Flags" iconId="0"/>
              <x14:cfIcon iconSet="NoIcons" iconId="0"/>
              <x14:cfIcon iconSet="3Flags" iconId="2"/>
            </x14:iconSet>
          </x14:cfRule>
          <xm:sqref>F80</xm:sqref>
        </x14:conditionalFormatting>
        <x14:conditionalFormatting xmlns:xm="http://schemas.microsoft.com/office/excel/2006/main">
          <x14:cfRule type="iconSet" priority="31" id="{8391DAA4-F648-4F2E-9B37-1DC8573B42F1}">
            <x14:iconSet iconSet="3Flags" custom="1">
              <x14:cfvo type="percent">
                <xm:f>0</xm:f>
              </x14:cfvo>
              <x14:cfvo type="formula">
                <xm:f>$F$81-0.001%</xm:f>
              </x14:cfvo>
              <x14:cfvo type="formula" gte="0">
                <xm:f>$F$81</xm:f>
              </x14:cfvo>
              <x14:cfIcon iconSet="3Flags" iconId="0"/>
              <x14:cfIcon iconSet="NoIcons" iconId="0"/>
              <x14:cfIcon iconSet="3Flags" iconId="2"/>
            </x14:iconSet>
          </x14:cfRule>
          <xm:sqref>F81</xm:sqref>
        </x14:conditionalFormatting>
        <x14:conditionalFormatting xmlns:xm="http://schemas.microsoft.com/office/excel/2006/main">
          <x14:cfRule type="iconSet" priority="30" id="{10554E6D-A2A0-4E50-A215-CAF540EE89FE}">
            <x14:iconSet iconSet="3Flags" custom="1">
              <x14:cfvo type="percent">
                <xm:f>0</xm:f>
              </x14:cfvo>
              <x14:cfvo type="formula">
                <xm:f>$F$83-0.001</xm:f>
              </x14:cfvo>
              <x14:cfvo type="formula" gte="0">
                <xm:f>$F$83</xm:f>
              </x14:cfvo>
              <x14:cfIcon iconSet="3Flags" iconId="2"/>
              <x14:cfIcon iconSet="NoIcons" iconId="0"/>
              <x14:cfIcon iconSet="3Flags" iconId="0"/>
            </x14:iconSet>
          </x14:cfRule>
          <xm:sqref>F83</xm:sqref>
        </x14:conditionalFormatting>
        <x14:conditionalFormatting xmlns:xm="http://schemas.microsoft.com/office/excel/2006/main">
          <x14:cfRule type="iconSet" priority="29" id="{711DA718-3A47-4F53-A160-A3685FBF71CE}">
            <x14:iconSet iconSet="3Flags" custom="1">
              <x14:cfvo type="percent">
                <xm:f>0</xm:f>
              </x14:cfvo>
              <x14:cfvo type="formula">
                <xm:f>$F$84-0.001</xm:f>
              </x14:cfvo>
              <x14:cfvo type="formula" gte="0">
                <xm:f>$F$84</xm:f>
              </x14:cfvo>
              <x14:cfIcon iconSet="3Flags" iconId="2"/>
              <x14:cfIcon iconSet="NoIcons" iconId="0"/>
              <x14:cfIcon iconSet="3Flags" iconId="0"/>
            </x14:iconSet>
          </x14:cfRule>
          <xm:sqref>F84</xm:sqref>
        </x14:conditionalFormatting>
        <x14:conditionalFormatting xmlns:xm="http://schemas.microsoft.com/office/excel/2006/main">
          <x14:cfRule type="iconSet" priority="28" id="{975C3A6E-F0FC-4A81-B076-1FC273FB928A}">
            <x14:iconSet iconSet="3Flags" custom="1">
              <x14:cfvo type="percent">
                <xm:f>0</xm:f>
              </x14:cfvo>
              <x14:cfvo type="formula">
                <xm:f>$F$85-0.001</xm:f>
              </x14:cfvo>
              <x14:cfvo type="formula" gte="0">
                <xm:f>$F$85</xm:f>
              </x14:cfvo>
              <x14:cfIcon iconSet="3Flags" iconId="2"/>
              <x14:cfIcon iconSet="NoIcons" iconId="0"/>
              <x14:cfIcon iconSet="3Flags" iconId="0"/>
            </x14:iconSet>
          </x14:cfRule>
          <xm:sqref>F85</xm:sqref>
        </x14:conditionalFormatting>
        <x14:conditionalFormatting xmlns:xm="http://schemas.microsoft.com/office/excel/2006/main">
          <x14:cfRule type="iconSet" priority="27" id="{F4A36575-27CB-47B6-BFD2-3DC918C2DADF}">
            <x14:iconSet iconSet="3Flags" custom="1">
              <x14:cfvo type="percent">
                <xm:f>0</xm:f>
              </x14:cfvo>
              <x14:cfvo type="formula">
                <xm:f>$F$86-0.001</xm:f>
              </x14:cfvo>
              <x14:cfvo type="formula" gte="0">
                <xm:f>$F$86</xm:f>
              </x14:cfvo>
              <x14:cfIcon iconSet="3Flags" iconId="2"/>
              <x14:cfIcon iconSet="NoIcons" iconId="0"/>
              <x14:cfIcon iconSet="3Flags" iconId="0"/>
            </x14:iconSet>
          </x14:cfRule>
          <xm:sqref>F86</xm:sqref>
        </x14:conditionalFormatting>
        <x14:conditionalFormatting xmlns:xm="http://schemas.microsoft.com/office/excel/2006/main">
          <x14:cfRule type="iconSet" priority="26" id="{415CBDFA-0A14-4BE6-9963-D4905F132AD4}">
            <x14:iconSet iconSet="3Flags" custom="1">
              <x14:cfvo type="percent">
                <xm:f>0</xm:f>
              </x14:cfvo>
              <x14:cfvo type="formula">
                <xm:f>$F$87-0.001</xm:f>
              </x14:cfvo>
              <x14:cfvo type="formula" gte="0">
                <xm:f>$F$87</xm:f>
              </x14:cfvo>
              <x14:cfIcon iconSet="3Flags" iconId="2"/>
              <x14:cfIcon iconSet="NoIcons" iconId="0"/>
              <x14:cfIcon iconSet="3Flags" iconId="0"/>
            </x14:iconSet>
          </x14:cfRule>
          <xm:sqref>F87</xm:sqref>
        </x14:conditionalFormatting>
        <x14:conditionalFormatting xmlns:xm="http://schemas.microsoft.com/office/excel/2006/main">
          <x14:cfRule type="iconSet" priority="25" id="{0F573E6F-13AA-4B3C-BF58-36B6F2F32E48}">
            <x14:iconSet iconSet="3Flags" custom="1">
              <x14:cfvo type="percent">
                <xm:f>0</xm:f>
              </x14:cfvo>
              <x14:cfvo type="formula">
                <xm:f>$F$88-0.001</xm:f>
              </x14:cfvo>
              <x14:cfvo type="formula" gte="0">
                <xm:f>$F$88</xm:f>
              </x14:cfvo>
              <x14:cfIcon iconSet="3Flags" iconId="2"/>
              <x14:cfIcon iconSet="NoIcons" iconId="0"/>
              <x14:cfIcon iconSet="3Flags" iconId="0"/>
            </x14:iconSet>
          </x14:cfRule>
          <xm:sqref>F88</xm:sqref>
        </x14:conditionalFormatting>
        <x14:conditionalFormatting xmlns:xm="http://schemas.microsoft.com/office/excel/2006/main">
          <x14:cfRule type="iconSet" priority="24" id="{C4C03E01-2EAD-4894-9398-D9DA1F64F2AA}">
            <x14:iconSet iconSet="3Flags" custom="1">
              <x14:cfvo type="percent">
                <xm:f>0</xm:f>
              </x14:cfvo>
              <x14:cfvo type="formula">
                <xm:f>$F$89-0.001</xm:f>
              </x14:cfvo>
              <x14:cfvo type="formula" gte="0">
                <xm:f>$F$89</xm:f>
              </x14:cfvo>
              <x14:cfIcon iconSet="3Flags" iconId="2"/>
              <x14:cfIcon iconSet="NoIcons" iconId="0"/>
              <x14:cfIcon iconSet="3Flags" iconId="0"/>
            </x14:iconSet>
          </x14:cfRule>
          <xm:sqref>F89</xm:sqref>
        </x14:conditionalFormatting>
        <x14:conditionalFormatting xmlns:xm="http://schemas.microsoft.com/office/excel/2006/main">
          <x14:cfRule type="iconSet" priority="23" id="{DCFB7483-2F8D-43AE-BAD1-BB75D35A25BC}">
            <x14:iconSet iconSet="3Flags" custom="1">
              <x14:cfvo type="percent">
                <xm:f>0</xm:f>
              </x14:cfvo>
              <x14:cfvo type="formula">
                <xm:f>$F$90-0.001</xm:f>
              </x14:cfvo>
              <x14:cfvo type="formula" gte="0">
                <xm:f>$F$90</xm:f>
              </x14:cfvo>
              <x14:cfIcon iconSet="3Flags" iconId="2"/>
              <x14:cfIcon iconSet="NoIcons" iconId="0"/>
              <x14:cfIcon iconSet="3Flags" iconId="0"/>
            </x14:iconSet>
          </x14:cfRule>
          <xm:sqref>F90</xm:sqref>
        </x14:conditionalFormatting>
        <x14:conditionalFormatting xmlns:xm="http://schemas.microsoft.com/office/excel/2006/main">
          <x14:cfRule type="iconSet" priority="22" id="{9B790213-4B82-4E84-88E2-E04F35DF0CE8}">
            <x14:iconSet iconSet="3Flags" custom="1">
              <x14:cfvo type="percent">
                <xm:f>0</xm:f>
              </x14:cfvo>
              <x14:cfvo type="formula">
                <xm:f>$F$91-0.001</xm:f>
              </x14:cfvo>
              <x14:cfvo type="formula" gte="0">
                <xm:f>$F$91</xm:f>
              </x14:cfvo>
              <x14:cfIcon iconSet="3Flags" iconId="2"/>
              <x14:cfIcon iconSet="NoIcons" iconId="0"/>
              <x14:cfIcon iconSet="3Flags" iconId="0"/>
            </x14:iconSet>
          </x14:cfRule>
          <xm:sqref>F91</xm:sqref>
        </x14:conditionalFormatting>
        <x14:conditionalFormatting xmlns:xm="http://schemas.microsoft.com/office/excel/2006/main">
          <x14:cfRule type="iconSet" priority="21" id="{EDEFAA78-D70A-4C8B-9009-0CCF020D2D81}">
            <x14:iconSet iconSet="3Flags" custom="1">
              <x14:cfvo type="percent">
                <xm:f>0</xm:f>
              </x14:cfvo>
              <x14:cfvo type="formula">
                <xm:f>$F$92-0.001</xm:f>
              </x14:cfvo>
              <x14:cfvo type="formula" gte="0">
                <xm:f>$F$92</xm:f>
              </x14:cfvo>
              <x14:cfIcon iconSet="3Flags" iconId="2"/>
              <x14:cfIcon iconSet="NoIcons" iconId="0"/>
              <x14:cfIcon iconSet="3Flags" iconId="0"/>
            </x14:iconSet>
          </x14:cfRule>
          <xm:sqref>F92</xm:sqref>
        </x14:conditionalFormatting>
        <x14:conditionalFormatting xmlns:xm="http://schemas.microsoft.com/office/excel/2006/main">
          <x14:cfRule type="iconSet" priority="41" id="{26E9E2E8-B3A6-4598-98F8-633C3E876C2C}">
            <x14:iconSet iconSet="3Flags" custom="1">
              <x14:cfvo type="percent">
                <xm:f>0</xm:f>
              </x14:cfvo>
              <x14:cfvo type="formula">
                <xm:f>$F$115-0.001</xm:f>
              </x14:cfvo>
              <x14:cfvo type="formula" gte="0">
                <xm:f>$F$115</xm:f>
              </x14:cfvo>
              <x14:cfIcon iconSet="3Flags" iconId="0"/>
              <x14:cfIcon iconSet="NoIcons" iconId="0"/>
              <x14:cfIcon iconSet="3Flags" iconId="2"/>
            </x14:iconSet>
          </x14:cfRule>
          <xm:sqref>F115</xm:sqref>
        </x14:conditionalFormatting>
        <x14:conditionalFormatting xmlns:xm="http://schemas.microsoft.com/office/excel/2006/main">
          <x14:cfRule type="iconSet" priority="40" id="{C18AF873-5917-4D44-B4D9-8D3423A60C29}">
            <x14:iconSet iconSet="3Flags" custom="1">
              <x14:cfvo type="percent">
                <xm:f>0</xm:f>
              </x14:cfvo>
              <x14:cfvo type="formula">
                <xm:f>$F$128-0.001</xm:f>
              </x14:cfvo>
              <x14:cfvo type="formula" gte="0">
                <xm:f>$F$128</xm:f>
              </x14:cfvo>
              <x14:cfIcon iconSet="3Flags" iconId="0"/>
              <x14:cfIcon iconSet="NoIcons" iconId="0"/>
              <x14:cfIcon iconSet="3Flags" iconId="2"/>
            </x14:iconSet>
          </x14:cfRule>
          <xm:sqref>F128</xm:sqref>
        </x14:conditionalFormatting>
        <x14:conditionalFormatting xmlns:xm="http://schemas.microsoft.com/office/excel/2006/main">
          <x14:cfRule type="iconSet" priority="1" id="{D27FBB1C-FA87-4262-AA4E-FC7E7DA822BF}">
            <x14:iconSet iconSet="3Flags" custom="1">
              <x14:cfvo type="percent">
                <xm:f>0</xm:f>
              </x14:cfvo>
              <x14:cfvo type="formula">
                <xm:f>$D$129-0.001</xm:f>
              </x14:cfvo>
              <x14:cfvo type="formula" gte="0">
                <xm:f>$D$129</xm:f>
              </x14:cfvo>
              <x14:cfIcon iconSet="3Flags" iconId="0"/>
              <x14:cfIcon iconSet="NoIcons" iconId="0"/>
              <x14:cfIcon iconSet="3Flags" iconId="2"/>
            </x14:iconSet>
          </x14:cfRule>
          <xm:sqref>F129</xm:sqref>
        </x14:conditionalFormatting>
        <x14:conditionalFormatting xmlns:xm="http://schemas.microsoft.com/office/excel/2006/main">
          <x14:cfRule type="iconSet" priority="7" id="{931B36A0-2A17-40E0-B2DE-ED3EA10BF700}">
            <x14:iconSet iconSet="3Flags" custom="1">
              <x14:cfvo type="percent">
                <xm:f>0</xm:f>
              </x14:cfvo>
              <x14:cfvo type="formula">
                <xm:f>$D$159-0.001</xm:f>
              </x14:cfvo>
              <x14:cfvo type="formula" gte="0">
                <xm:f>$D$148</xm:f>
              </x14:cfvo>
              <x14:cfIcon iconSet="3Flags" iconId="2"/>
              <x14:cfIcon iconSet="NoIcons" iconId="0"/>
              <x14:cfIcon iconSet="3Flags" iconId="0"/>
            </x14:iconSet>
          </x14:cfRule>
          <xm:sqref>F148</xm:sqref>
        </x14:conditionalFormatting>
        <x14:conditionalFormatting xmlns:xm="http://schemas.microsoft.com/office/excel/2006/main">
          <x14:cfRule type="iconSet" priority="4" id="{EF69C2F9-DA34-4B2E-B71A-8B108E5CB93C}">
            <x14:iconSet iconSet="3Flags" custom="1">
              <x14:cfvo type="percent">
                <xm:f>0</xm:f>
              </x14:cfvo>
              <x14:cfvo type="formula">
                <xm:f>$D$159-0.001</xm:f>
              </x14:cfvo>
              <x14:cfvo type="formula" gte="0">
                <xm:f>$D$148</xm:f>
              </x14:cfvo>
              <x14:cfIcon iconSet="3Flags" iconId="2"/>
              <x14:cfIcon iconSet="NoIcons" iconId="0"/>
              <x14:cfIcon iconSet="3Flags" iconId="0"/>
            </x14:iconSet>
          </x14:cfRule>
          <xm:sqref>F168:F169</xm:sqref>
        </x14:conditionalFormatting>
        <x14:conditionalFormatting xmlns:xm="http://schemas.microsoft.com/office/excel/2006/main">
          <x14:cfRule type="iconSet" priority="42" id="{64A51716-92F2-437B-A0BF-96FD7F801C7B}">
            <x14:iconSet iconSet="3Flags" custom="1">
              <x14:cfvo type="percent">
                <xm:f>0</xm:f>
              </x14:cfvo>
              <x14:cfvo type="formula">
                <xm:f>$F$180-0.001</xm:f>
              </x14:cfvo>
              <x14:cfvo type="formula" gte="0">
                <xm:f>$F$180</xm:f>
              </x14:cfvo>
              <x14:cfIcon iconSet="3Flags" iconId="0"/>
              <x14:cfIcon iconSet="NoIcons" iconId="0"/>
              <x14:cfIcon iconSet="3Flags" iconId="2"/>
            </x14:iconSet>
          </x14:cfRule>
          <xm:sqref>F180</xm:sqref>
        </x14:conditionalFormatting>
        <x14:conditionalFormatting xmlns:xm="http://schemas.microsoft.com/office/excel/2006/main">
          <x14:cfRule type="iconSet" priority="53" id="{57294526-56A4-44AC-BE3A-C4BA5BA34773}">
            <x14:iconSet iconSet="3Flags" custom="1">
              <x14:cfvo type="percent">
                <xm:f>0</xm:f>
              </x14:cfvo>
              <x14:cfvo type="formula">
                <xm:f>$F$187-0.001</xm:f>
              </x14:cfvo>
              <x14:cfvo type="formula" gte="0">
                <xm:f>$F$187</xm:f>
              </x14:cfvo>
              <x14:cfIcon iconSet="3Flags" iconId="0"/>
              <x14:cfIcon iconSet="NoIcons" iconId="0"/>
              <x14:cfIcon iconSet="3Flags" iconId="2"/>
            </x14:iconSet>
          </x14:cfRule>
          <xm:sqref>F187</xm:sqref>
        </x14:conditionalFormatting>
        <x14:conditionalFormatting xmlns:xm="http://schemas.microsoft.com/office/excel/2006/main">
          <x14:cfRule type="iconSet" priority="52" id="{858A12CE-27C4-474D-AFB1-5F850B4E0C5B}">
            <x14:iconSet iconSet="3Flags" custom="1">
              <x14:cfvo type="percent">
                <xm:f>0</xm:f>
              </x14:cfvo>
              <x14:cfvo type="formula">
                <xm:f>$F$189-0.001</xm:f>
              </x14:cfvo>
              <x14:cfvo type="formula" gte="0">
                <xm:f>$F$189</xm:f>
              </x14:cfvo>
              <x14:cfIcon iconSet="3Flags" iconId="0"/>
              <x14:cfIcon iconSet="NoIcons" iconId="0"/>
              <x14:cfIcon iconSet="3Flags" iconId="2"/>
            </x14:iconSet>
          </x14:cfRule>
          <xm:sqref>F189</xm:sqref>
        </x14:conditionalFormatting>
        <x14:conditionalFormatting xmlns:xm="http://schemas.microsoft.com/office/excel/2006/main">
          <x14:cfRule type="iconSet" priority="51" id="{FEEA3098-7159-4401-B0CF-72DAD8E1299E}">
            <x14:iconSet iconSet="3Flags" custom="1">
              <x14:cfvo type="percent">
                <xm:f>0</xm:f>
              </x14:cfvo>
              <x14:cfvo type="formula">
                <xm:f>$F$190-0.001</xm:f>
              </x14:cfvo>
              <x14:cfvo type="formula" gte="0">
                <xm:f>$F$190</xm:f>
              </x14:cfvo>
              <x14:cfIcon iconSet="3Flags" iconId="0"/>
              <x14:cfIcon iconSet="NoIcons" iconId="0"/>
              <x14:cfIcon iconSet="3Flags" iconId="2"/>
            </x14:iconSet>
          </x14:cfRule>
          <xm:sqref>F190</xm:sqref>
        </x14:conditionalFormatting>
        <x14:conditionalFormatting xmlns:xm="http://schemas.microsoft.com/office/excel/2006/main">
          <x14:cfRule type="iconSet" priority="50" id="{7B73D8D5-1A78-4BCC-A93F-865AE49E6AAA}">
            <x14:iconSet iconSet="3Flags" custom="1">
              <x14:cfvo type="percent">
                <xm:f>0</xm:f>
              </x14:cfvo>
              <x14:cfvo type="formula">
                <xm:f>$F$201-0.001</xm:f>
              </x14:cfvo>
              <x14:cfvo type="formula" gte="0">
                <xm:f>$F$201</xm:f>
              </x14:cfvo>
              <x14:cfIcon iconSet="3Flags" iconId="0"/>
              <x14:cfIcon iconSet="NoIcons" iconId="0"/>
              <x14:cfIcon iconSet="3Flags" iconId="2"/>
            </x14:iconSet>
          </x14:cfRule>
          <xm:sqref>F201</xm:sqref>
        </x14:conditionalFormatting>
        <x14:conditionalFormatting xmlns:xm="http://schemas.microsoft.com/office/excel/2006/main">
          <x14:cfRule type="iconSet" priority="49" id="{A6D66179-FA8F-4862-8A37-74CD39EE9800}">
            <x14:iconSet iconSet="3Flags" custom="1">
              <x14:cfvo type="percent">
                <xm:f>0</xm:f>
              </x14:cfvo>
              <x14:cfvo type="formula">
                <xm:f>$F$205-0.001</xm:f>
              </x14:cfvo>
              <x14:cfvo type="formula" gte="0">
                <xm:f>$F$205</xm:f>
              </x14:cfvo>
              <x14:cfIcon iconSet="3Flags" iconId="0"/>
              <x14:cfIcon iconSet="NoIcons" iconId="0"/>
              <x14:cfIcon iconSet="3Flags" iconId="2"/>
            </x14:iconSet>
          </x14:cfRule>
          <xm:sqref>F205</xm:sqref>
        </x14:conditionalFormatting>
        <x14:conditionalFormatting xmlns:xm="http://schemas.microsoft.com/office/excel/2006/main">
          <x14:cfRule type="iconSet" priority="48" id="{1014F156-82B6-4135-B80A-4945C0C6ACC6}">
            <x14:iconSet iconSet="3Flags" custom="1">
              <x14:cfvo type="percent">
                <xm:f>0</xm:f>
              </x14:cfvo>
              <x14:cfvo type="formula">
                <xm:f>$F$209-0.001</xm:f>
              </x14:cfvo>
              <x14:cfvo type="formula" gte="0">
                <xm:f>$F$209</xm:f>
              </x14:cfvo>
              <x14:cfIcon iconSet="3Flags" iconId="0"/>
              <x14:cfIcon iconSet="NoIcons" iconId="0"/>
              <x14:cfIcon iconSet="3Flags" iconId="2"/>
            </x14:iconSet>
          </x14:cfRule>
          <xm:sqref>F209</xm:sqref>
        </x14:conditionalFormatting>
        <x14:conditionalFormatting xmlns:xm="http://schemas.microsoft.com/office/excel/2006/main">
          <x14:cfRule type="iconSet" priority="47" id="{F02065AF-5ADD-4143-9E39-6D4CE0774FE6}">
            <x14:iconSet iconSet="3Flags" custom="1">
              <x14:cfvo type="percent">
                <xm:f>0</xm:f>
              </x14:cfvo>
              <x14:cfvo type="formula">
                <xm:f>$F$212-0.001</xm:f>
              </x14:cfvo>
              <x14:cfvo type="formula" gte="0">
                <xm:f>$F$212</xm:f>
              </x14:cfvo>
              <x14:cfIcon iconSet="3Flags" iconId="0"/>
              <x14:cfIcon iconSet="NoIcons" iconId="0"/>
              <x14:cfIcon iconSet="3Flags" iconId="2"/>
            </x14:iconSet>
          </x14:cfRule>
          <xm:sqref>F212</xm:sqref>
        </x14:conditionalFormatting>
        <x14:conditionalFormatting xmlns:xm="http://schemas.microsoft.com/office/excel/2006/main">
          <x14:cfRule type="iconSet" priority="46" id="{1BAB8CB0-D943-4A10-A66B-9B277F30A460}">
            <x14:iconSet iconSet="3Flags" custom="1">
              <x14:cfvo type="percent">
                <xm:f>0</xm:f>
              </x14:cfvo>
              <x14:cfvo type="formula">
                <xm:f>$F$217-0.001</xm:f>
              </x14:cfvo>
              <x14:cfvo type="formula" gte="0">
                <xm:f>$F$217</xm:f>
              </x14:cfvo>
              <x14:cfIcon iconSet="3Flags" iconId="0"/>
              <x14:cfIcon iconSet="NoIcons" iconId="0"/>
              <x14:cfIcon iconSet="3Flags" iconId="2"/>
            </x14:iconSet>
          </x14:cfRule>
          <xm:sqref>F217</xm:sqref>
        </x14:conditionalFormatting>
        <x14:conditionalFormatting xmlns:xm="http://schemas.microsoft.com/office/excel/2006/main">
          <x14:cfRule type="iconSet" priority="78" id="{740B7D53-5C9B-4E13-9568-DE99D5237263}">
            <x14:iconSet iconSet="3Flags" custom="1">
              <x14:cfvo type="percent">
                <xm:f>0</xm:f>
              </x14:cfvo>
              <x14:cfvo type="formula">
                <xm:f>$F$224-0.001</xm:f>
              </x14:cfvo>
              <x14:cfvo type="formula" gte="0">
                <xm:f>$F$224</xm:f>
              </x14:cfvo>
              <x14:cfIcon iconSet="3Flags" iconId="2"/>
              <x14:cfIcon iconSet="NoIcons" iconId="0"/>
              <x14:cfIcon iconSet="3Flags" iconId="0"/>
            </x14:iconSet>
          </x14:cfRule>
          <xm:sqref>F224</xm:sqref>
        </x14:conditionalFormatting>
        <x14:conditionalFormatting xmlns:xm="http://schemas.microsoft.com/office/excel/2006/main">
          <x14:cfRule type="iconSet" priority="77" id="{3785B86F-1009-4102-A2A6-1303D66CE1D5}">
            <x14:iconSet iconSet="3Flags" custom="1">
              <x14:cfvo type="percent">
                <xm:f>0</xm:f>
              </x14:cfvo>
              <x14:cfvo type="formula">
                <xm:f>$F$228-0.001</xm:f>
              </x14:cfvo>
              <x14:cfvo type="formula" gte="0">
                <xm:f>$F$228</xm:f>
              </x14:cfvo>
              <x14:cfIcon iconSet="3Flags" iconId="2"/>
              <x14:cfIcon iconSet="NoIcons" iconId="0"/>
              <x14:cfIcon iconSet="3Flags" iconId="0"/>
            </x14:iconSet>
          </x14:cfRule>
          <xm:sqref>F228</xm:sqref>
        </x14:conditionalFormatting>
        <x14:conditionalFormatting xmlns:xm="http://schemas.microsoft.com/office/excel/2006/main">
          <x14:cfRule type="iconSet" priority="76" id="{044D6AE0-5876-4ABF-B19C-760CB575CD08}">
            <x14:iconSet iconSet="3Flags" custom="1">
              <x14:cfvo type="percent">
                <xm:f>0</xm:f>
              </x14:cfvo>
              <x14:cfvo type="formula">
                <xm:f>$F$232-0.001</xm:f>
              </x14:cfvo>
              <x14:cfvo type="formula" gte="0">
                <xm:f>$F$232</xm:f>
              </x14:cfvo>
              <x14:cfIcon iconSet="3Flags" iconId="2"/>
              <x14:cfIcon iconSet="NoIcons" iconId="0"/>
              <x14:cfIcon iconSet="3Flags" iconId="0"/>
            </x14:iconSet>
          </x14:cfRule>
          <xm:sqref>F232</xm:sqref>
        </x14:conditionalFormatting>
        <x14:conditionalFormatting xmlns:xm="http://schemas.microsoft.com/office/excel/2006/main">
          <x14:cfRule type="iconSet" priority="79" id="{DEDAD87D-0F6B-47B5-9BA9-8E1BFC7A8212}">
            <x14:iconSet iconSet="3Flags" custom="1">
              <x14:cfvo type="percent">
                <xm:f>0</xm:f>
              </x14:cfvo>
              <x14:cfvo type="formula">
                <xm:f>$F$234-0.001%</xm:f>
              </x14:cfvo>
              <x14:cfvo type="formula" gte="0">
                <xm:f>$F$234</xm:f>
              </x14:cfvo>
              <x14:cfIcon iconSet="3Flags" iconId="0"/>
              <x14:cfIcon iconSet="NoIcons" iconId="0"/>
              <x14:cfIcon iconSet="3Flags" iconId="2"/>
            </x14:iconSet>
          </x14:cfRule>
          <xm:sqref>F234</xm:sqref>
        </x14:conditionalFormatting>
        <x14:conditionalFormatting xmlns:xm="http://schemas.microsoft.com/office/excel/2006/main">
          <x14:cfRule type="iconSet" priority="75" id="{9D964CC9-1E76-44F9-B28A-3D515B7C1E78}">
            <x14:iconSet iconSet="3Flags" custom="1">
              <x14:cfvo type="percent">
                <xm:f>0</xm:f>
              </x14:cfvo>
              <x14:cfvo type="formula">
                <xm:f>$F$235-0.001%</xm:f>
              </x14:cfvo>
              <x14:cfvo type="formula" gte="0">
                <xm:f>$F$235</xm:f>
              </x14:cfvo>
              <x14:cfIcon iconSet="3Flags" iconId="0"/>
              <x14:cfIcon iconSet="NoIcons" iconId="0"/>
              <x14:cfIcon iconSet="3Flags" iconId="2"/>
            </x14:iconSet>
          </x14:cfRule>
          <xm:sqref>F235</xm:sqref>
        </x14:conditionalFormatting>
        <x14:conditionalFormatting xmlns:xm="http://schemas.microsoft.com/office/excel/2006/main">
          <x14:cfRule type="iconSet" priority="74" id="{865FE37A-6589-4A51-BD40-9733AF0D733F}">
            <x14:iconSet iconSet="3Flags" custom="1">
              <x14:cfvo type="percent">
                <xm:f>0</xm:f>
              </x14:cfvo>
              <x14:cfvo type="formula">
                <xm:f>$F$236-0.001%</xm:f>
              </x14:cfvo>
              <x14:cfvo type="formula" gte="0">
                <xm:f>$F$236</xm:f>
              </x14:cfvo>
              <x14:cfIcon iconSet="3Flags" iconId="2"/>
              <x14:cfIcon iconSet="NoIcons" iconId="0"/>
              <x14:cfIcon iconSet="3Flags" iconId="0"/>
            </x14:iconSet>
          </x14:cfRule>
          <xm:sqref>F236</xm:sqref>
        </x14:conditionalFormatting>
        <x14:conditionalFormatting xmlns:xm="http://schemas.microsoft.com/office/excel/2006/main">
          <x14:cfRule type="iconSet" priority="73" id="{5EDEB5E1-88B2-4CAF-AC61-C947F42BEF2C}">
            <x14:iconSet iconSet="3Flags" custom="1">
              <x14:cfvo type="percent">
                <xm:f>0</xm:f>
              </x14:cfvo>
              <x14:cfvo type="formula">
                <xm:f>$F$237-0.001%</xm:f>
              </x14:cfvo>
              <x14:cfvo type="formula" gte="0">
                <xm:f>$F$237</xm:f>
              </x14:cfvo>
              <x14:cfIcon iconSet="3Flags" iconId="0"/>
              <x14:cfIcon iconSet="NoIcons" iconId="0"/>
              <x14:cfIcon iconSet="3Flags" iconId="2"/>
            </x14:iconSet>
          </x14:cfRule>
          <xm:sqref>F237</xm:sqref>
        </x14:conditionalFormatting>
        <x14:conditionalFormatting xmlns:xm="http://schemas.microsoft.com/office/excel/2006/main">
          <x14:cfRule type="iconSet" priority="72" id="{E1E27CD3-39CE-4DDB-8CC3-5AAD8DEB5A36}">
            <x14:iconSet iconSet="3Flags" custom="1">
              <x14:cfvo type="percent">
                <xm:f>0</xm:f>
              </x14:cfvo>
              <x14:cfvo type="formula">
                <xm:f>$F$239-0.001%</xm:f>
              </x14:cfvo>
              <x14:cfvo type="formula" gte="0">
                <xm:f>$F$239</xm:f>
              </x14:cfvo>
              <x14:cfIcon iconSet="3Flags" iconId="0"/>
              <x14:cfIcon iconSet="NoIcons" iconId="0"/>
              <x14:cfIcon iconSet="3Flags" iconId="2"/>
            </x14:iconSet>
          </x14:cfRule>
          <xm:sqref>F239</xm:sqref>
        </x14:conditionalFormatting>
        <x14:conditionalFormatting xmlns:xm="http://schemas.microsoft.com/office/excel/2006/main">
          <x14:cfRule type="iconSet" priority="71" id="{728DE6BA-8FC3-4344-A635-E1EF533F6C30}">
            <x14:iconSet iconSet="3Flags" custom="1">
              <x14:cfvo type="percent">
                <xm:f>0</xm:f>
              </x14:cfvo>
              <x14:cfvo type="formula">
                <xm:f>$F$240-0.001%</xm:f>
              </x14:cfvo>
              <x14:cfvo type="formula" gte="0">
                <xm:f>$F$240</xm:f>
              </x14:cfvo>
              <x14:cfIcon iconSet="3Flags" iconId="0"/>
              <x14:cfIcon iconSet="NoIcons" iconId="0"/>
              <x14:cfIcon iconSet="3Flags" iconId="2"/>
            </x14:iconSet>
          </x14:cfRule>
          <xm:sqref>F240</xm:sqref>
        </x14:conditionalFormatting>
        <x14:conditionalFormatting xmlns:xm="http://schemas.microsoft.com/office/excel/2006/main">
          <x14:cfRule type="iconSet" priority="70" id="{B7ABADA5-D5FB-43D5-9B8A-292E130E188F}">
            <x14:iconSet iconSet="3Flags" custom="1">
              <x14:cfvo type="percent">
                <xm:f>0</xm:f>
              </x14:cfvo>
              <x14:cfvo type="formula">
                <xm:f>$F$241-0.001%</xm:f>
              </x14:cfvo>
              <x14:cfvo type="formula" gte="0">
                <xm:f>$F$241</xm:f>
              </x14:cfvo>
              <x14:cfIcon iconSet="3Flags" iconId="0"/>
              <x14:cfIcon iconSet="NoIcons" iconId="0"/>
              <x14:cfIcon iconSet="3Flags" iconId="2"/>
            </x14:iconSet>
          </x14:cfRule>
          <xm:sqref>F241</xm:sqref>
        </x14:conditionalFormatting>
        <x14:conditionalFormatting xmlns:xm="http://schemas.microsoft.com/office/excel/2006/main">
          <x14:cfRule type="iconSet" priority="69" id="{EDEB38F9-6F08-45B4-9CAB-BB5C1F36947D}">
            <x14:iconSet iconSet="3Flags" custom="1">
              <x14:cfvo type="percent">
                <xm:f>0</xm:f>
              </x14:cfvo>
              <x14:cfvo type="formula">
                <xm:f>$F$242-0.001%</xm:f>
              </x14:cfvo>
              <x14:cfvo type="formula" gte="0">
                <xm:f>$F$242</xm:f>
              </x14:cfvo>
              <x14:cfIcon iconSet="3Flags" iconId="0"/>
              <x14:cfIcon iconSet="NoIcons" iconId="0"/>
              <x14:cfIcon iconSet="3Flags" iconId="2"/>
            </x14:iconSet>
          </x14:cfRule>
          <xm:sqref>F242</xm:sqref>
        </x14:conditionalFormatting>
        <x14:conditionalFormatting xmlns:xm="http://schemas.microsoft.com/office/excel/2006/main">
          <x14:cfRule type="iconSet" priority="68" id="{65CD5C51-346C-4AF7-939C-F4CAFEB46AD8}">
            <x14:iconSet iconSet="3Flags" custom="1">
              <x14:cfvo type="percent">
                <xm:f>0</xm:f>
              </x14:cfvo>
              <x14:cfvo type="formula">
                <xm:f>$F$243-0.001%</xm:f>
              </x14:cfvo>
              <x14:cfvo type="formula" gte="0">
                <xm:f>$F$243</xm:f>
              </x14:cfvo>
              <x14:cfIcon iconSet="3Flags" iconId="0"/>
              <x14:cfIcon iconSet="NoIcons" iconId="0"/>
              <x14:cfIcon iconSet="3Flags" iconId="2"/>
            </x14:iconSet>
          </x14:cfRule>
          <xm:sqref>F243</xm:sqref>
        </x14:conditionalFormatting>
        <x14:conditionalFormatting xmlns:xm="http://schemas.microsoft.com/office/excel/2006/main">
          <x14:cfRule type="iconSet" priority="67" id="{7F25FFD3-D967-404E-92A8-218F381997CF}">
            <x14:iconSet iconSet="3Flags" custom="1">
              <x14:cfvo type="percent">
                <xm:f>0</xm:f>
              </x14:cfvo>
              <x14:cfvo type="formula">
                <xm:f>$F$245-0.001%</xm:f>
              </x14:cfvo>
              <x14:cfvo type="formula" gte="0">
                <xm:f>$F$245</xm:f>
              </x14:cfvo>
              <x14:cfIcon iconSet="3Flags" iconId="2"/>
              <x14:cfIcon iconSet="NoIcons" iconId="0"/>
              <x14:cfIcon iconSet="3Flags" iconId="0"/>
            </x14:iconSet>
          </x14:cfRule>
          <xm:sqref>F245</xm:sqref>
        </x14:conditionalFormatting>
        <x14:conditionalFormatting xmlns:xm="http://schemas.microsoft.com/office/excel/2006/main">
          <x14:cfRule type="iconSet" priority="66" id="{3BB671BE-2B5E-4908-9674-CB16F9082FFA}">
            <x14:iconSet iconSet="3Flags" custom="1">
              <x14:cfvo type="percent">
                <xm:f>0</xm:f>
              </x14:cfvo>
              <x14:cfvo type="formula">
                <xm:f>$F$246-0.001%</xm:f>
              </x14:cfvo>
              <x14:cfvo type="formula" gte="0">
                <xm:f>$F$246</xm:f>
              </x14:cfvo>
              <x14:cfIcon iconSet="3Flags" iconId="2"/>
              <x14:cfIcon iconSet="NoIcons" iconId="0"/>
              <x14:cfIcon iconSet="3Flags" iconId="0"/>
            </x14:iconSet>
          </x14:cfRule>
          <xm:sqref>F246</xm:sqref>
        </x14:conditionalFormatting>
        <x14:conditionalFormatting xmlns:xm="http://schemas.microsoft.com/office/excel/2006/main">
          <x14:cfRule type="iconSet" priority="65" id="{C9091B5C-91CF-4D88-9E6E-46F168D3DC3F}">
            <x14:iconSet iconSet="3Flags" custom="1">
              <x14:cfvo type="percent">
                <xm:f>0</xm:f>
              </x14:cfvo>
              <x14:cfvo type="formula">
                <xm:f>$F$247-0.001</xm:f>
              </x14:cfvo>
              <x14:cfvo type="formula" gte="0">
                <xm:f>$F$247</xm:f>
              </x14:cfvo>
              <x14:cfIcon iconSet="3Flags" iconId="0"/>
              <x14:cfIcon iconSet="NoIcons" iconId="0"/>
              <x14:cfIcon iconSet="3Flags" iconId="2"/>
            </x14:iconSet>
          </x14:cfRule>
          <xm:sqref>F247</xm:sqref>
        </x14:conditionalFormatting>
        <x14:conditionalFormatting xmlns:xm="http://schemas.microsoft.com/office/excel/2006/main">
          <x14:cfRule type="iconSet" priority="64" id="{EB895BDB-0F7B-4CEE-A28F-8044C0EB85ED}">
            <x14:iconSet iconSet="3Flags" custom="1">
              <x14:cfvo type="percent">
                <xm:f>0</xm:f>
              </x14:cfvo>
              <x14:cfvo type="formula">
                <xm:f>$F$248-0.001</xm:f>
              </x14:cfvo>
              <x14:cfvo type="formula" gte="0">
                <xm:f>$F$248</xm:f>
              </x14:cfvo>
              <x14:cfIcon iconSet="3Flags" iconId="0"/>
              <x14:cfIcon iconSet="NoIcons" iconId="0"/>
              <x14:cfIcon iconSet="3Flags" iconId="2"/>
            </x14:iconSet>
          </x14:cfRule>
          <xm:sqref>F248</xm:sqref>
        </x14:conditionalFormatting>
        <x14:conditionalFormatting xmlns:xm="http://schemas.microsoft.com/office/excel/2006/main">
          <x14:cfRule type="iconSet" priority="63" id="{936A5EEB-8A53-458D-8286-D0464611BDC6}">
            <x14:iconSet iconSet="3Flags" custom="1">
              <x14:cfvo type="percent">
                <xm:f>0</xm:f>
              </x14:cfvo>
              <x14:cfvo type="formula">
                <xm:f>$F$249-0.001%</xm:f>
              </x14:cfvo>
              <x14:cfvo type="formula" gte="0">
                <xm:f>$F$249</xm:f>
              </x14:cfvo>
              <x14:cfIcon iconSet="3Flags" iconId="0"/>
              <x14:cfIcon iconSet="NoIcons" iconId="0"/>
              <x14:cfIcon iconSet="3Flags" iconId="2"/>
            </x14:iconSet>
          </x14:cfRule>
          <xm:sqref>F249</xm:sqref>
        </x14:conditionalFormatting>
        <x14:conditionalFormatting xmlns:xm="http://schemas.microsoft.com/office/excel/2006/main">
          <x14:cfRule type="iconSet" priority="62" id="{8DADF7EA-E7E8-4B5A-86BC-94DC23D3F6A8}">
            <x14:iconSet iconSet="3Flags" custom="1">
              <x14:cfvo type="percent">
                <xm:f>0</xm:f>
              </x14:cfvo>
              <x14:cfvo type="formula">
                <xm:f>$F$251-0.001</xm:f>
              </x14:cfvo>
              <x14:cfvo type="formula" gte="0">
                <xm:f>$F$251</xm:f>
              </x14:cfvo>
              <x14:cfIcon iconSet="3Flags" iconId="0"/>
              <x14:cfIcon iconSet="NoIcons" iconId="0"/>
              <x14:cfIcon iconSet="3Flags" iconId="2"/>
            </x14:iconSet>
          </x14:cfRule>
          <xm:sqref>F251</xm:sqref>
        </x14:conditionalFormatting>
        <x14:conditionalFormatting xmlns:xm="http://schemas.microsoft.com/office/excel/2006/main">
          <x14:cfRule type="iconSet" priority="61" id="{4A0101E1-14D3-4C0D-A10A-8ABCB6517586}">
            <x14:iconSet iconSet="3Flags" custom="1">
              <x14:cfvo type="percent">
                <xm:f>0</xm:f>
              </x14:cfvo>
              <x14:cfvo type="formula">
                <xm:f>$F$252-0.001</xm:f>
              </x14:cfvo>
              <x14:cfvo type="formula" gte="0">
                <xm:f>$F$252</xm:f>
              </x14:cfvo>
              <x14:cfIcon iconSet="3Flags" iconId="0"/>
              <x14:cfIcon iconSet="NoIcons" iconId="0"/>
              <x14:cfIcon iconSet="3Flags" iconId="2"/>
            </x14:iconSet>
          </x14:cfRule>
          <xm:sqref>F252</xm:sqref>
        </x14:conditionalFormatting>
        <x14:conditionalFormatting xmlns:xm="http://schemas.microsoft.com/office/excel/2006/main">
          <x14:cfRule type="iconSet" priority="60" id="{733D49F0-4E05-46AB-AAFA-6920F350EC96}">
            <x14:iconSet iconSet="3Flags" custom="1">
              <x14:cfvo type="percent">
                <xm:f>0</xm:f>
              </x14:cfvo>
              <x14:cfvo type="formula">
                <xm:f>$F$253-0.001</xm:f>
              </x14:cfvo>
              <x14:cfvo type="formula" gte="0">
                <xm:f>$F$253</xm:f>
              </x14:cfvo>
              <x14:cfIcon iconSet="3Flags" iconId="2"/>
              <x14:cfIcon iconSet="NoIcons" iconId="0"/>
              <x14:cfIcon iconSet="3Flags" iconId="0"/>
            </x14:iconSet>
          </x14:cfRule>
          <xm:sqref>F253</xm:sqref>
        </x14:conditionalFormatting>
        <x14:conditionalFormatting xmlns:xm="http://schemas.microsoft.com/office/excel/2006/main">
          <x14:cfRule type="iconSet" priority="59" id="{3A36C4A1-3AB4-494B-BC91-BF633C4C0777}">
            <x14:iconSet iconSet="3Flags" custom="1">
              <x14:cfvo type="percent">
                <xm:f>0</xm:f>
              </x14:cfvo>
              <x14:cfvo type="formula">
                <xm:f>$F$254-0.001</xm:f>
              </x14:cfvo>
              <x14:cfvo type="formula" gte="0">
                <xm:f>$F$254</xm:f>
              </x14:cfvo>
              <x14:cfIcon iconSet="3Flags" iconId="2"/>
              <x14:cfIcon iconSet="NoIcons" iconId="0"/>
              <x14:cfIcon iconSet="3Flags" iconId="0"/>
            </x14:iconSet>
          </x14:cfRule>
          <xm:sqref>F254</xm:sqref>
        </x14:conditionalFormatting>
        <x14:conditionalFormatting xmlns:xm="http://schemas.microsoft.com/office/excel/2006/main">
          <x14:cfRule type="iconSet" priority="57" id="{8C7AAB93-08B8-4391-909E-2123D476BA30}">
            <x14:iconSet iconSet="3Flags" custom="1">
              <x14:cfvo type="percent">
                <xm:f>0</xm:f>
              </x14:cfvo>
              <x14:cfvo type="formula">
                <xm:f>$F$255-0.001</xm:f>
              </x14:cfvo>
              <x14:cfvo type="formula" gte="0">
                <xm:f>$F$255</xm:f>
              </x14:cfvo>
              <x14:cfIcon iconSet="3Flags" iconId="0"/>
              <x14:cfIcon iconSet="NoIcons" iconId="0"/>
              <x14:cfIcon iconSet="3Flags" iconId="2"/>
            </x14:iconSet>
          </x14:cfRule>
          <xm:sqref>F255</xm:sqref>
        </x14:conditionalFormatting>
        <x14:conditionalFormatting xmlns:xm="http://schemas.microsoft.com/office/excel/2006/main">
          <x14:cfRule type="iconSet" priority="58" id="{C9404D2C-D84E-4BE7-B4FB-FEF0AA23E720}">
            <x14:iconSet iconSet="3Flags" custom="1">
              <x14:cfvo type="percent">
                <xm:f>0</xm:f>
              </x14:cfvo>
              <x14:cfvo type="formula">
                <xm:f>$F$256-0.001</xm:f>
              </x14:cfvo>
              <x14:cfvo type="formula" gte="0">
                <xm:f>$F$256</xm:f>
              </x14:cfvo>
              <x14:cfIcon iconSet="3Flags" iconId="2"/>
              <x14:cfIcon iconSet="NoIcons" iconId="0"/>
              <x14:cfIcon iconSet="3Flags" iconId="0"/>
            </x14:iconSet>
          </x14:cfRule>
          <xm:sqref>F256</xm:sqref>
        </x14:conditionalFormatting>
        <x14:conditionalFormatting xmlns:xm="http://schemas.microsoft.com/office/excel/2006/main">
          <x14:cfRule type="iconSet" priority="56" id="{74E42870-AF39-4862-ADC5-7088AD1B2562}">
            <x14:iconSet iconSet="3Flags" custom="1">
              <x14:cfvo type="percent">
                <xm:f>0</xm:f>
              </x14:cfvo>
              <x14:cfvo type="formula">
                <xm:f>$F$258-0.001%</xm:f>
              </x14:cfvo>
              <x14:cfvo type="formula" gte="0">
                <xm:f>$F$258</xm:f>
              </x14:cfvo>
              <x14:cfIcon iconSet="3Flags" iconId="0"/>
              <x14:cfIcon iconSet="NoIcons" iconId="0"/>
              <x14:cfIcon iconSet="3Flags" iconId="2"/>
            </x14:iconSet>
          </x14:cfRule>
          <xm:sqref>F258</xm:sqref>
        </x14:conditionalFormatting>
        <x14:conditionalFormatting xmlns:xm="http://schemas.microsoft.com/office/excel/2006/main">
          <x14:cfRule type="iconSet" priority="55" id="{5F7AF311-EEF6-4840-AF66-0C48DBE2D1FB}">
            <x14:iconSet iconSet="3Flags" custom="1">
              <x14:cfvo type="percent">
                <xm:f>0</xm:f>
              </x14:cfvo>
              <x14:cfvo type="formula">
                <xm:f>$F$259-0.001%</xm:f>
              </x14:cfvo>
              <x14:cfvo type="formula" gte="0">
                <xm:f>$F$259</xm:f>
              </x14:cfvo>
              <x14:cfIcon iconSet="3Flags" iconId="0"/>
              <x14:cfIcon iconSet="NoIcons" iconId="0"/>
              <x14:cfIcon iconSet="3Flags" iconId="2"/>
            </x14:iconSet>
          </x14:cfRule>
          <xm:sqref>F259</xm:sqref>
        </x14:conditionalFormatting>
        <x14:conditionalFormatting xmlns:xm="http://schemas.microsoft.com/office/excel/2006/main">
          <x14:cfRule type="iconSet" priority="54" id="{9E285008-A1DE-424A-B1B0-90CEAC60D42B}">
            <x14:iconSet iconSet="3Flags" custom="1">
              <x14:cfvo type="percent">
                <xm:f>0</xm:f>
              </x14:cfvo>
              <x14:cfvo type="formula">
                <xm:f>$F$260-0.001%</xm:f>
              </x14:cfvo>
              <x14:cfvo type="formula" gte="0">
                <xm:f>$F$260</xm:f>
              </x14:cfvo>
              <x14:cfIcon iconSet="3Flags" iconId="0"/>
              <x14:cfIcon iconSet="NoIcons" iconId="0"/>
              <x14:cfIcon iconSet="3Flags" iconId="2"/>
            </x14:iconSet>
          </x14:cfRule>
          <xm:sqref>F260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278FD-452C-41D5-A46F-37F7DE22F0F1}">
  <sheetPr codeName="Sheet12"/>
  <dimension ref="A1:U75"/>
  <sheetViews>
    <sheetView showGridLines="0" zoomScale="80" zoomScaleNormal="80" workbookViewId="0">
      <selection activeCell="E20" sqref="E20"/>
    </sheetView>
  </sheetViews>
  <sheetFormatPr defaultRowHeight="14.4" x14ac:dyDescent="0.3"/>
  <cols>
    <col min="1" max="1" width="60" customWidth="1"/>
    <col min="2" max="2" width="82.88671875" bestFit="1" customWidth="1"/>
    <col min="5" max="5" width="44.6640625" bestFit="1" customWidth="1"/>
    <col min="6" max="6" width="48" bestFit="1" customWidth="1"/>
    <col min="9" max="9" width="37.33203125" customWidth="1"/>
    <col min="10" max="10" width="37.6640625" customWidth="1"/>
    <col min="13" max="13" width="38.6640625" customWidth="1"/>
    <col min="14" max="14" width="53.33203125" bestFit="1" customWidth="1"/>
    <col min="17" max="17" width="38.6640625" customWidth="1"/>
    <col min="18" max="18" width="43.44140625" bestFit="1" customWidth="1"/>
    <col min="20" max="20" width="29" customWidth="1"/>
    <col min="21" max="21" width="43.44140625" bestFit="1" customWidth="1"/>
  </cols>
  <sheetData>
    <row r="1" spans="1:21" x14ac:dyDescent="0.3">
      <c r="A1" s="106" t="s">
        <v>398</v>
      </c>
      <c r="B1" s="106" t="s">
        <v>397</v>
      </c>
      <c r="E1" s="106" t="s">
        <v>398</v>
      </c>
      <c r="F1" s="106" t="s">
        <v>397</v>
      </c>
      <c r="I1" s="106" t="s">
        <v>398</v>
      </c>
      <c r="J1" s="106" t="s">
        <v>397</v>
      </c>
      <c r="M1" s="106" t="s">
        <v>398</v>
      </c>
      <c r="N1" s="106" t="s">
        <v>397</v>
      </c>
      <c r="Q1" s="106" t="s">
        <v>398</v>
      </c>
      <c r="R1" s="106" t="s">
        <v>397</v>
      </c>
      <c r="T1" s="106" t="s">
        <v>398</v>
      </c>
      <c r="U1" s="106" t="s">
        <v>397</v>
      </c>
    </row>
    <row r="2" spans="1:21" x14ac:dyDescent="0.3">
      <c r="A2" s="105" t="s">
        <v>66</v>
      </c>
      <c r="B2" s="105" t="s">
        <v>257</v>
      </c>
      <c r="E2" s="105" t="s">
        <v>144</v>
      </c>
      <c r="F2" s="105" t="s">
        <v>329</v>
      </c>
      <c r="I2" s="105" t="s">
        <v>17</v>
      </c>
      <c r="J2" s="105" t="s">
        <v>222</v>
      </c>
      <c r="M2" s="105" t="s">
        <v>202</v>
      </c>
      <c r="N2" s="105" t="s">
        <v>359</v>
      </c>
      <c r="Q2" s="105" t="s">
        <v>52</v>
      </c>
      <c r="R2" s="105" t="s">
        <v>237</v>
      </c>
      <c r="T2" s="105" t="s">
        <v>52</v>
      </c>
      <c r="U2" s="105" t="s">
        <v>238</v>
      </c>
    </row>
    <row r="3" spans="1:21" x14ac:dyDescent="0.3">
      <c r="A3" s="105" t="s">
        <v>67</v>
      </c>
      <c r="B3" s="105" t="s">
        <v>258</v>
      </c>
      <c r="E3" s="105" t="s">
        <v>145</v>
      </c>
      <c r="F3" s="105" t="s">
        <v>330</v>
      </c>
      <c r="I3" s="105" t="s">
        <v>16</v>
      </c>
      <c r="J3" s="105" t="s">
        <v>223</v>
      </c>
      <c r="M3" s="105"/>
      <c r="N3" s="105" t="s">
        <v>15</v>
      </c>
      <c r="Q3" s="105" t="s">
        <v>53</v>
      </c>
      <c r="R3" s="105" t="s">
        <v>239</v>
      </c>
      <c r="T3" s="105" t="s">
        <v>53</v>
      </c>
      <c r="U3" s="105" t="s">
        <v>240</v>
      </c>
    </row>
    <row r="4" spans="1:21" x14ac:dyDescent="0.3">
      <c r="A4" s="105" t="s">
        <v>68</v>
      </c>
      <c r="B4" s="105" t="s">
        <v>259</v>
      </c>
      <c r="E4" s="105" t="s">
        <v>146</v>
      </c>
      <c r="F4" s="105" t="s">
        <v>331</v>
      </c>
      <c r="I4" s="105" t="s">
        <v>37</v>
      </c>
      <c r="J4" s="105" t="s">
        <v>224</v>
      </c>
      <c r="M4" s="105"/>
      <c r="N4" s="105" t="s">
        <v>360</v>
      </c>
      <c r="Q4" s="105" t="s">
        <v>54</v>
      </c>
      <c r="R4" s="105" t="s">
        <v>241</v>
      </c>
      <c r="T4" s="105" t="s">
        <v>54</v>
      </c>
      <c r="U4" s="105" t="s">
        <v>242</v>
      </c>
    </row>
    <row r="5" spans="1:21" x14ac:dyDescent="0.3">
      <c r="A5" s="105" t="s">
        <v>69</v>
      </c>
      <c r="B5" s="105" t="s">
        <v>260</v>
      </c>
      <c r="E5" s="105" t="s">
        <v>147</v>
      </c>
      <c r="F5" s="105" t="s">
        <v>332</v>
      </c>
      <c r="I5" s="105" t="s">
        <v>14</v>
      </c>
      <c r="J5" s="105" t="s">
        <v>225</v>
      </c>
      <c r="M5" s="105"/>
      <c r="N5" s="105" t="s">
        <v>361</v>
      </c>
      <c r="Q5" s="105" t="s">
        <v>55</v>
      </c>
      <c r="R5" s="105" t="s">
        <v>243</v>
      </c>
      <c r="T5" s="105" t="s">
        <v>55</v>
      </c>
      <c r="U5" s="105" t="s">
        <v>244</v>
      </c>
    </row>
    <row r="6" spans="1:21" x14ac:dyDescent="0.3">
      <c r="A6" s="105" t="s">
        <v>70</v>
      </c>
      <c r="B6" s="105" t="s">
        <v>261</v>
      </c>
      <c r="E6" s="105" t="s">
        <v>148</v>
      </c>
      <c r="F6" s="105" t="s">
        <v>333</v>
      </c>
      <c r="I6" s="105" t="s">
        <v>15</v>
      </c>
      <c r="J6" s="105" t="s">
        <v>226</v>
      </c>
      <c r="M6" s="105"/>
      <c r="N6" s="105" t="s">
        <v>362</v>
      </c>
      <c r="Q6" s="105" t="s">
        <v>56</v>
      </c>
      <c r="R6" s="105" t="s">
        <v>245</v>
      </c>
      <c r="T6" s="105" t="s">
        <v>56</v>
      </c>
      <c r="U6" s="105" t="s">
        <v>246</v>
      </c>
    </row>
    <row r="7" spans="1:21" x14ac:dyDescent="0.3">
      <c r="A7" s="105" t="s">
        <v>71</v>
      </c>
      <c r="B7" s="105" t="s">
        <v>262</v>
      </c>
      <c r="E7" s="105" t="s">
        <v>149</v>
      </c>
      <c r="F7" s="105" t="s">
        <v>334</v>
      </c>
      <c r="I7" s="105" t="s">
        <v>399</v>
      </c>
      <c r="J7" s="105" t="s">
        <v>227</v>
      </c>
      <c r="M7" s="105"/>
      <c r="N7" s="105" t="s">
        <v>363</v>
      </c>
      <c r="Q7" s="105" t="s">
        <v>57</v>
      </c>
      <c r="R7" s="105" t="s">
        <v>247</v>
      </c>
      <c r="T7" s="105" t="s">
        <v>57</v>
      </c>
      <c r="U7" s="105" t="s">
        <v>248</v>
      </c>
    </row>
    <row r="8" spans="1:21" x14ac:dyDescent="0.3">
      <c r="A8" s="105" t="s">
        <v>72</v>
      </c>
      <c r="B8" s="105" t="s">
        <v>263</v>
      </c>
      <c r="E8" s="105" t="s">
        <v>150</v>
      </c>
      <c r="F8" s="105" t="s">
        <v>335</v>
      </c>
      <c r="I8" s="105" t="s">
        <v>39</v>
      </c>
      <c r="J8" s="105" t="s">
        <v>228</v>
      </c>
      <c r="M8" s="105"/>
      <c r="N8" s="105" t="s">
        <v>364</v>
      </c>
      <c r="Q8" s="105" t="s">
        <v>58</v>
      </c>
      <c r="R8" s="105" t="s">
        <v>249</v>
      </c>
      <c r="T8" s="105" t="s">
        <v>58</v>
      </c>
      <c r="U8" s="105" t="s">
        <v>250</v>
      </c>
    </row>
    <row r="9" spans="1:21" x14ac:dyDescent="0.3">
      <c r="A9" s="105" t="s">
        <v>73</v>
      </c>
      <c r="B9" s="105" t="s">
        <v>264</v>
      </c>
      <c r="E9" s="105" t="s">
        <v>151</v>
      </c>
      <c r="F9" s="105" t="s">
        <v>336</v>
      </c>
      <c r="I9" s="105" t="s">
        <v>41</v>
      </c>
      <c r="J9" s="105" t="s">
        <v>229</v>
      </c>
      <c r="M9" s="105"/>
      <c r="N9" s="105" t="s">
        <v>365</v>
      </c>
      <c r="Q9" s="105" t="s">
        <v>59</v>
      </c>
      <c r="R9" s="105" t="s">
        <v>251</v>
      </c>
      <c r="T9" s="105" t="s">
        <v>59</v>
      </c>
      <c r="U9" s="105" t="s">
        <v>252</v>
      </c>
    </row>
    <row r="10" spans="1:21" x14ac:dyDescent="0.3">
      <c r="A10" s="105" t="s">
        <v>74</v>
      </c>
      <c r="B10" s="105" t="s">
        <v>265</v>
      </c>
      <c r="E10" s="105" t="s">
        <v>152</v>
      </c>
      <c r="F10" s="105" t="s">
        <v>337</v>
      </c>
      <c r="I10" s="105" t="s">
        <v>42</v>
      </c>
      <c r="J10" s="105" t="s">
        <v>230</v>
      </c>
      <c r="M10" s="105"/>
      <c r="N10" s="105" t="s">
        <v>366</v>
      </c>
      <c r="Q10" s="105" t="s">
        <v>60</v>
      </c>
      <c r="R10" s="105" t="s">
        <v>253</v>
      </c>
      <c r="T10" s="105" t="s">
        <v>60</v>
      </c>
      <c r="U10" s="105" t="s">
        <v>254</v>
      </c>
    </row>
    <row r="11" spans="1:21" x14ac:dyDescent="0.3">
      <c r="A11" s="105" t="s">
        <v>75</v>
      </c>
      <c r="B11" s="105" t="s">
        <v>266</v>
      </c>
      <c r="E11" s="105" t="s">
        <v>153</v>
      </c>
      <c r="F11" s="105" t="s">
        <v>338</v>
      </c>
      <c r="I11" s="105" t="s">
        <v>43</v>
      </c>
      <c r="J11" s="105" t="s">
        <v>231</v>
      </c>
      <c r="M11" s="105" t="s">
        <v>178</v>
      </c>
      <c r="N11" s="105" t="s">
        <v>367</v>
      </c>
      <c r="Q11" s="105" t="s">
        <v>61</v>
      </c>
      <c r="R11" s="105" t="s">
        <v>255</v>
      </c>
      <c r="T11" s="105" t="s">
        <v>61</v>
      </c>
      <c r="U11" s="105" t="s">
        <v>256</v>
      </c>
    </row>
    <row r="12" spans="1:21" x14ac:dyDescent="0.3">
      <c r="A12" s="105" t="s">
        <v>76</v>
      </c>
      <c r="B12" s="105" t="s">
        <v>267</v>
      </c>
      <c r="E12" s="105" t="s">
        <v>154</v>
      </c>
      <c r="F12" s="105" t="s">
        <v>339</v>
      </c>
      <c r="I12" s="105" t="s">
        <v>45</v>
      </c>
      <c r="J12" s="105" t="s">
        <v>232</v>
      </c>
      <c r="M12" s="105" t="s">
        <v>179</v>
      </c>
      <c r="N12" s="105" t="s">
        <v>368</v>
      </c>
    </row>
    <row r="13" spans="1:21" x14ac:dyDescent="0.3">
      <c r="A13" s="105" t="s">
        <v>77</v>
      </c>
      <c r="B13" s="105" t="s">
        <v>268</v>
      </c>
      <c r="E13" s="105" t="s">
        <v>155</v>
      </c>
      <c r="F13" s="105" t="s">
        <v>340</v>
      </c>
      <c r="I13" s="105" t="s">
        <v>46</v>
      </c>
      <c r="J13" s="105" t="s">
        <v>233</v>
      </c>
      <c r="M13" s="105" t="s">
        <v>180</v>
      </c>
      <c r="N13" s="105" t="s">
        <v>369</v>
      </c>
    </row>
    <row r="14" spans="1:21" x14ac:dyDescent="0.3">
      <c r="A14" s="105" t="s">
        <v>78</v>
      </c>
      <c r="B14" s="105" t="s">
        <v>269</v>
      </c>
      <c r="E14" s="105" t="s">
        <v>156</v>
      </c>
      <c r="F14" s="105" t="s">
        <v>341</v>
      </c>
      <c r="I14" s="105" t="s">
        <v>47</v>
      </c>
      <c r="J14" s="105" t="s">
        <v>234</v>
      </c>
      <c r="M14" s="105" t="s">
        <v>182</v>
      </c>
      <c r="N14" s="105" t="s">
        <v>370</v>
      </c>
    </row>
    <row r="15" spans="1:21" x14ac:dyDescent="0.3">
      <c r="A15" s="105" t="s">
        <v>79</v>
      </c>
      <c r="B15" s="105" t="s">
        <v>270</v>
      </c>
      <c r="E15" s="105" t="s">
        <v>157</v>
      </c>
      <c r="F15" s="105" t="s">
        <v>342</v>
      </c>
      <c r="I15" s="105" t="s">
        <v>48</v>
      </c>
      <c r="J15" s="105" t="s">
        <v>235</v>
      </c>
      <c r="M15" s="105" t="s">
        <v>183</v>
      </c>
      <c r="N15" s="105" t="s">
        <v>371</v>
      </c>
    </row>
    <row r="16" spans="1:21" x14ac:dyDescent="0.3">
      <c r="A16" s="105" t="s">
        <v>80</v>
      </c>
      <c r="B16" s="105" t="s">
        <v>271</v>
      </c>
      <c r="E16" s="105" t="s">
        <v>158</v>
      </c>
      <c r="F16" s="105" t="s">
        <v>343</v>
      </c>
      <c r="I16" s="105" t="s">
        <v>49</v>
      </c>
      <c r="J16" s="105" t="s">
        <v>236</v>
      </c>
      <c r="M16" s="105" t="s">
        <v>184</v>
      </c>
      <c r="N16" s="105" t="s">
        <v>372</v>
      </c>
    </row>
    <row r="17" spans="1:14" x14ac:dyDescent="0.3">
      <c r="A17" s="105" t="s">
        <v>81</v>
      </c>
      <c r="B17" s="105" t="s">
        <v>272</v>
      </c>
      <c r="E17" s="105" t="s">
        <v>159</v>
      </c>
      <c r="F17" s="105" t="s">
        <v>344</v>
      </c>
      <c r="M17" s="105" t="s">
        <v>178</v>
      </c>
      <c r="N17" s="105" t="s">
        <v>373</v>
      </c>
    </row>
    <row r="18" spans="1:14" x14ac:dyDescent="0.3">
      <c r="A18" s="105" t="s">
        <v>82</v>
      </c>
      <c r="B18" s="105" t="s">
        <v>273</v>
      </c>
      <c r="E18" s="105" t="s">
        <v>160</v>
      </c>
      <c r="F18" s="105" t="s">
        <v>345</v>
      </c>
      <c r="M18" s="105" t="s">
        <v>186</v>
      </c>
      <c r="N18" s="105" t="s">
        <v>374</v>
      </c>
    </row>
    <row r="19" spans="1:14" x14ac:dyDescent="0.3">
      <c r="A19" s="105" t="s">
        <v>84</v>
      </c>
      <c r="B19" s="105" t="s">
        <v>274</v>
      </c>
      <c r="E19" s="105" t="s">
        <v>161</v>
      </c>
      <c r="F19" s="105" t="s">
        <v>346</v>
      </c>
      <c r="M19" s="105" t="s">
        <v>187</v>
      </c>
      <c r="N19" s="105" t="s">
        <v>375</v>
      </c>
    </row>
    <row r="20" spans="1:14" x14ac:dyDescent="0.3">
      <c r="A20" s="105" t="s">
        <v>85</v>
      </c>
      <c r="B20" s="105" t="s">
        <v>275</v>
      </c>
      <c r="E20" s="105" t="s">
        <v>162</v>
      </c>
      <c r="F20" s="105" t="s">
        <v>403</v>
      </c>
      <c r="M20" s="105" t="s">
        <v>208</v>
      </c>
      <c r="N20" s="105" t="s">
        <v>376</v>
      </c>
    </row>
    <row r="21" spans="1:14" x14ac:dyDescent="0.3">
      <c r="A21" s="105" t="s">
        <v>86</v>
      </c>
      <c r="B21" s="105" t="s">
        <v>276</v>
      </c>
      <c r="E21" s="105" t="s">
        <v>163</v>
      </c>
      <c r="F21" s="105" t="s">
        <v>401</v>
      </c>
      <c r="M21" s="105" t="s">
        <v>189</v>
      </c>
      <c r="N21" s="105" t="s">
        <v>377</v>
      </c>
    </row>
    <row r="22" spans="1:14" x14ac:dyDescent="0.3">
      <c r="A22" s="105" t="s">
        <v>87</v>
      </c>
      <c r="B22" s="105" t="s">
        <v>277</v>
      </c>
      <c r="E22" s="105" t="s">
        <v>164</v>
      </c>
      <c r="F22" s="105" t="s">
        <v>347</v>
      </c>
      <c r="M22" s="105" t="s">
        <v>190</v>
      </c>
      <c r="N22" s="105" t="s">
        <v>378</v>
      </c>
    </row>
    <row r="23" spans="1:14" x14ac:dyDescent="0.3">
      <c r="A23" s="105" t="s">
        <v>88</v>
      </c>
      <c r="B23" s="105" t="s">
        <v>278</v>
      </c>
      <c r="E23" s="105" t="s">
        <v>165</v>
      </c>
      <c r="F23" s="105" t="s">
        <v>228</v>
      </c>
      <c r="M23" s="105" t="s">
        <v>191</v>
      </c>
      <c r="N23" s="105" t="s">
        <v>379</v>
      </c>
    </row>
    <row r="24" spans="1:14" x14ac:dyDescent="0.3">
      <c r="A24" s="105" t="s">
        <v>89</v>
      </c>
      <c r="B24" s="105" t="s">
        <v>279</v>
      </c>
      <c r="E24" s="105" t="s">
        <v>166</v>
      </c>
      <c r="F24" s="105" t="s">
        <v>348</v>
      </c>
      <c r="M24" s="105" t="s">
        <v>192</v>
      </c>
      <c r="N24" s="105" t="s">
        <v>380</v>
      </c>
    </row>
    <row r="25" spans="1:14" x14ac:dyDescent="0.3">
      <c r="A25" s="105" t="s">
        <v>90</v>
      </c>
      <c r="B25" s="105" t="s">
        <v>280</v>
      </c>
      <c r="E25" s="105" t="s">
        <v>167</v>
      </c>
      <c r="F25" s="105" t="s">
        <v>349</v>
      </c>
      <c r="M25" s="105" t="s">
        <v>194</v>
      </c>
      <c r="N25" s="105" t="s">
        <v>381</v>
      </c>
    </row>
    <row r="26" spans="1:14" x14ac:dyDescent="0.3">
      <c r="A26" s="105" t="s">
        <v>91</v>
      </c>
      <c r="B26" s="105" t="s">
        <v>281</v>
      </c>
      <c r="E26" s="105" t="s">
        <v>163</v>
      </c>
      <c r="F26" s="105" t="s">
        <v>401</v>
      </c>
      <c r="M26" s="105" t="s">
        <v>195</v>
      </c>
      <c r="N26" s="105" t="s">
        <v>382</v>
      </c>
    </row>
    <row r="27" spans="1:14" x14ac:dyDescent="0.3">
      <c r="A27" s="105" t="s">
        <v>92</v>
      </c>
      <c r="B27" s="105" t="s">
        <v>282</v>
      </c>
      <c r="E27" s="105" t="s">
        <v>168</v>
      </c>
      <c r="F27" s="105" t="s">
        <v>350</v>
      </c>
      <c r="M27" s="105" t="s">
        <v>196</v>
      </c>
      <c r="N27" s="105" t="s">
        <v>383</v>
      </c>
    </row>
    <row r="28" spans="1:14" x14ac:dyDescent="0.3">
      <c r="A28" s="105" t="s">
        <v>93</v>
      </c>
      <c r="B28" s="105" t="s">
        <v>283</v>
      </c>
      <c r="E28" s="105" t="s">
        <v>169</v>
      </c>
      <c r="F28" s="105" t="s">
        <v>351</v>
      </c>
      <c r="M28" s="105" t="s">
        <v>197</v>
      </c>
      <c r="N28" s="105" t="s">
        <v>384</v>
      </c>
    </row>
    <row r="29" spans="1:14" x14ac:dyDescent="0.3">
      <c r="A29" s="105" t="s">
        <v>94</v>
      </c>
      <c r="B29" s="105" t="s">
        <v>284</v>
      </c>
      <c r="E29" s="105" t="s">
        <v>170</v>
      </c>
      <c r="F29" s="105" t="s">
        <v>352</v>
      </c>
      <c r="M29" s="105" t="s">
        <v>198</v>
      </c>
      <c r="N29" s="105" t="s">
        <v>385</v>
      </c>
    </row>
    <row r="30" spans="1:14" x14ac:dyDescent="0.3">
      <c r="A30" s="105" t="s">
        <v>17</v>
      </c>
      <c r="B30" s="105" t="s">
        <v>222</v>
      </c>
      <c r="E30" s="105" t="s">
        <v>171</v>
      </c>
      <c r="F30" s="105" t="s">
        <v>353</v>
      </c>
      <c r="M30" s="105" t="s">
        <v>200</v>
      </c>
      <c r="N30" s="105" t="s">
        <v>386</v>
      </c>
    </row>
    <row r="31" spans="1:14" x14ac:dyDescent="0.3">
      <c r="A31" s="105" t="s">
        <v>96</v>
      </c>
      <c r="B31" s="105" t="s">
        <v>285</v>
      </c>
      <c r="E31" s="105" t="s">
        <v>107</v>
      </c>
      <c r="F31" s="105" t="s">
        <v>354</v>
      </c>
      <c r="M31" s="105" t="s">
        <v>201</v>
      </c>
      <c r="N31" s="105" t="s">
        <v>387</v>
      </c>
    </row>
    <row r="32" spans="1:14" x14ac:dyDescent="0.3">
      <c r="A32" s="105" t="s">
        <v>97</v>
      </c>
      <c r="B32" s="105" t="s">
        <v>286</v>
      </c>
      <c r="E32" s="105" t="s">
        <v>172</v>
      </c>
      <c r="F32" s="105" t="s">
        <v>355</v>
      </c>
      <c r="M32" s="105" t="s">
        <v>202</v>
      </c>
      <c r="N32" s="105" t="s">
        <v>388</v>
      </c>
    </row>
    <row r="33" spans="1:14" x14ac:dyDescent="0.3">
      <c r="A33" s="105" t="s">
        <v>98</v>
      </c>
      <c r="B33" s="105" t="s">
        <v>287</v>
      </c>
      <c r="E33" s="105" t="s">
        <v>173</v>
      </c>
      <c r="F33" s="105" t="s">
        <v>356</v>
      </c>
      <c r="M33" s="105" t="s">
        <v>203</v>
      </c>
      <c r="N33" s="105" t="s">
        <v>389</v>
      </c>
    </row>
    <row r="34" spans="1:14" x14ac:dyDescent="0.3">
      <c r="A34" s="105" t="s">
        <v>99</v>
      </c>
      <c r="B34" s="105" t="s">
        <v>288</v>
      </c>
      <c r="E34" s="105" t="s">
        <v>174</v>
      </c>
      <c r="F34" s="105" t="s">
        <v>357</v>
      </c>
      <c r="M34" s="105" t="s">
        <v>204</v>
      </c>
      <c r="N34" s="105" t="s">
        <v>390</v>
      </c>
    </row>
    <row r="35" spans="1:14" x14ac:dyDescent="0.3">
      <c r="A35" s="105" t="s">
        <v>100</v>
      </c>
      <c r="B35" s="105" t="s">
        <v>289</v>
      </c>
      <c r="E35" s="105" t="s">
        <v>175</v>
      </c>
      <c r="F35" s="105" t="s">
        <v>358</v>
      </c>
      <c r="M35" s="105" t="s">
        <v>206</v>
      </c>
      <c r="N35" s="105" t="s">
        <v>391</v>
      </c>
    </row>
    <row r="36" spans="1:14" x14ac:dyDescent="0.3">
      <c r="A36" s="105" t="s">
        <v>101</v>
      </c>
      <c r="B36" s="105" t="s">
        <v>290</v>
      </c>
      <c r="M36" s="105" t="s">
        <v>207</v>
      </c>
      <c r="N36" s="105" t="s">
        <v>392</v>
      </c>
    </row>
    <row r="37" spans="1:14" x14ac:dyDescent="0.3">
      <c r="A37" s="105" t="s">
        <v>102</v>
      </c>
      <c r="B37" s="105" t="s">
        <v>291</v>
      </c>
      <c r="M37" s="105" t="s">
        <v>210</v>
      </c>
      <c r="N37" s="105" t="s">
        <v>393</v>
      </c>
    </row>
    <row r="38" spans="1:14" x14ac:dyDescent="0.3">
      <c r="A38" s="105" t="s">
        <v>103</v>
      </c>
      <c r="B38" s="105" t="s">
        <v>292</v>
      </c>
      <c r="M38" s="105" t="s">
        <v>211</v>
      </c>
      <c r="N38" s="105" t="s">
        <v>394</v>
      </c>
    </row>
    <row r="39" spans="1:14" x14ac:dyDescent="0.3">
      <c r="A39" s="105" t="s">
        <v>104</v>
      </c>
      <c r="B39" s="105" t="s">
        <v>293</v>
      </c>
      <c r="M39" s="105" t="s">
        <v>212</v>
      </c>
      <c r="N39" s="105" t="s">
        <v>395</v>
      </c>
    </row>
    <row r="40" spans="1:14" x14ac:dyDescent="0.3">
      <c r="A40" s="105" t="s">
        <v>105</v>
      </c>
      <c r="B40" s="105" t="s">
        <v>294</v>
      </c>
      <c r="M40" s="105" t="s">
        <v>213</v>
      </c>
      <c r="N40" s="105" t="s">
        <v>396</v>
      </c>
    </row>
    <row r="41" spans="1:14" x14ac:dyDescent="0.3">
      <c r="A41" s="105" t="s">
        <v>106</v>
      </c>
      <c r="B41" s="105" t="s">
        <v>295</v>
      </c>
    </row>
    <row r="42" spans="1:14" x14ac:dyDescent="0.3">
      <c r="A42" s="105" t="s">
        <v>107</v>
      </c>
      <c r="B42" s="105" t="s">
        <v>296</v>
      </c>
    </row>
    <row r="43" spans="1:14" x14ac:dyDescent="0.3">
      <c r="A43" s="105" t="s">
        <v>108</v>
      </c>
      <c r="B43" s="105" t="s">
        <v>297</v>
      </c>
    </row>
    <row r="44" spans="1:14" x14ac:dyDescent="0.3">
      <c r="A44" s="105" t="s">
        <v>109</v>
      </c>
      <c r="B44" s="105" t="s">
        <v>298</v>
      </c>
    </row>
    <row r="45" spans="1:14" x14ac:dyDescent="0.3">
      <c r="A45" s="105" t="s">
        <v>110</v>
      </c>
      <c r="B45" s="105" t="s">
        <v>299</v>
      </c>
    </row>
    <row r="46" spans="1:14" x14ac:dyDescent="0.3">
      <c r="A46" s="105" t="s">
        <v>112</v>
      </c>
      <c r="B46" s="105" t="s">
        <v>300</v>
      </c>
    </row>
    <row r="47" spans="1:14" x14ac:dyDescent="0.3">
      <c r="A47" s="105" t="s">
        <v>113</v>
      </c>
      <c r="B47" s="105" t="s">
        <v>316</v>
      </c>
    </row>
    <row r="48" spans="1:14" x14ac:dyDescent="0.3">
      <c r="A48" s="105" t="s">
        <v>114</v>
      </c>
      <c r="B48" s="105" t="s">
        <v>317</v>
      </c>
    </row>
    <row r="49" spans="1:2" x14ac:dyDescent="0.3">
      <c r="A49" s="105" t="s">
        <v>115</v>
      </c>
      <c r="B49" s="105" t="s">
        <v>318</v>
      </c>
    </row>
    <row r="50" spans="1:2" x14ac:dyDescent="0.3">
      <c r="A50" s="105" t="s">
        <v>116</v>
      </c>
      <c r="B50" s="105" t="s">
        <v>301</v>
      </c>
    </row>
    <row r="51" spans="1:2" x14ac:dyDescent="0.3">
      <c r="A51" s="105" t="s">
        <v>117</v>
      </c>
      <c r="B51" s="105" t="s">
        <v>302</v>
      </c>
    </row>
    <row r="52" spans="1:2" x14ac:dyDescent="0.3">
      <c r="A52" s="105" t="s">
        <v>118</v>
      </c>
      <c r="B52" s="105" t="s">
        <v>303</v>
      </c>
    </row>
    <row r="53" spans="1:2" x14ac:dyDescent="0.3">
      <c r="A53" s="105" t="s">
        <v>119</v>
      </c>
      <c r="B53" s="105" t="s">
        <v>304</v>
      </c>
    </row>
    <row r="54" spans="1:2" x14ac:dyDescent="0.3">
      <c r="A54" s="105" t="s">
        <v>120</v>
      </c>
      <c r="B54" s="105" t="s">
        <v>305</v>
      </c>
    </row>
    <row r="55" spans="1:2" x14ac:dyDescent="0.3">
      <c r="A55" s="105" t="s">
        <v>121</v>
      </c>
      <c r="B55" s="105" t="s">
        <v>306</v>
      </c>
    </row>
    <row r="56" spans="1:2" x14ac:dyDescent="0.3">
      <c r="A56" s="105" t="s">
        <v>122</v>
      </c>
      <c r="B56" s="105" t="s">
        <v>307</v>
      </c>
    </row>
    <row r="57" spans="1:2" x14ac:dyDescent="0.3">
      <c r="A57" s="105" t="s">
        <v>123</v>
      </c>
      <c r="B57" s="105" t="s">
        <v>308</v>
      </c>
    </row>
    <row r="58" spans="1:2" x14ac:dyDescent="0.3">
      <c r="A58" s="105" t="s">
        <v>124</v>
      </c>
      <c r="B58" s="105" t="s">
        <v>309</v>
      </c>
    </row>
    <row r="59" spans="1:2" x14ac:dyDescent="0.3">
      <c r="A59" s="105" t="s">
        <v>125</v>
      </c>
      <c r="B59" s="105" t="s">
        <v>310</v>
      </c>
    </row>
    <row r="60" spans="1:2" x14ac:dyDescent="0.3">
      <c r="A60" s="105" t="s">
        <v>126</v>
      </c>
      <c r="B60" s="105" t="s">
        <v>311</v>
      </c>
    </row>
    <row r="61" spans="1:2" x14ac:dyDescent="0.3">
      <c r="A61" s="105" t="s">
        <v>127</v>
      </c>
      <c r="B61" s="105" t="s">
        <v>312</v>
      </c>
    </row>
    <row r="62" spans="1:2" x14ac:dyDescent="0.3">
      <c r="A62" s="105" t="s">
        <v>128</v>
      </c>
      <c r="B62" s="105" t="s">
        <v>313</v>
      </c>
    </row>
    <row r="63" spans="1:2" x14ac:dyDescent="0.3">
      <c r="A63" s="105" t="s">
        <v>129</v>
      </c>
      <c r="B63" s="105" t="s">
        <v>314</v>
      </c>
    </row>
    <row r="64" spans="1:2" x14ac:dyDescent="0.3">
      <c r="A64" s="105" t="s">
        <v>130</v>
      </c>
      <c r="B64" s="105" t="s">
        <v>315</v>
      </c>
    </row>
    <row r="65" spans="1:2" x14ac:dyDescent="0.3">
      <c r="A65" s="105" t="s">
        <v>132</v>
      </c>
      <c r="B65" s="105" t="s">
        <v>319</v>
      </c>
    </row>
    <row r="66" spans="1:2" x14ac:dyDescent="0.3">
      <c r="A66" s="105" t="s">
        <v>133</v>
      </c>
      <c r="B66" s="105" t="s">
        <v>320</v>
      </c>
    </row>
    <row r="67" spans="1:2" x14ac:dyDescent="0.3">
      <c r="A67" s="105" t="s">
        <v>134</v>
      </c>
      <c r="B67" s="105" t="s">
        <v>321</v>
      </c>
    </row>
    <row r="68" spans="1:2" x14ac:dyDescent="0.3">
      <c r="A68" s="105" t="s">
        <v>135</v>
      </c>
      <c r="B68" s="105" t="s">
        <v>322</v>
      </c>
    </row>
    <row r="69" spans="1:2" x14ac:dyDescent="0.3">
      <c r="A69" s="105" t="s">
        <v>136</v>
      </c>
      <c r="B69" s="105" t="s">
        <v>323</v>
      </c>
    </row>
    <row r="70" spans="1:2" x14ac:dyDescent="0.3">
      <c r="A70" s="105" t="s">
        <v>137</v>
      </c>
      <c r="B70" s="105" t="s">
        <v>324</v>
      </c>
    </row>
    <row r="71" spans="1:2" x14ac:dyDescent="0.3">
      <c r="A71" s="105" t="s">
        <v>138</v>
      </c>
      <c r="B71" s="105" t="s">
        <v>325</v>
      </c>
    </row>
    <row r="72" spans="1:2" x14ac:dyDescent="0.3">
      <c r="A72" s="105" t="s">
        <v>140</v>
      </c>
      <c r="B72" s="105" t="s">
        <v>326</v>
      </c>
    </row>
    <row r="73" spans="1:2" x14ac:dyDescent="0.3">
      <c r="A73" s="105" t="s">
        <v>141</v>
      </c>
      <c r="B73" s="105" t="s">
        <v>327</v>
      </c>
    </row>
    <row r="74" spans="1:2" x14ac:dyDescent="0.3">
      <c r="A74" s="105" t="s">
        <v>142</v>
      </c>
      <c r="B74" s="105" t="s">
        <v>328</v>
      </c>
    </row>
    <row r="75" spans="1:2" x14ac:dyDescent="0.3">
      <c r="A75" s="105" t="s">
        <v>402</v>
      </c>
      <c r="B75" s="105" t="s">
        <v>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2"/>
  <sheetViews>
    <sheetView zoomScaleNormal="100" workbookViewId="0">
      <selection sqref="A1:XFD1"/>
    </sheetView>
  </sheetViews>
  <sheetFormatPr defaultRowHeight="14.4" x14ac:dyDescent="0.3"/>
  <cols>
    <col min="1" max="1" width="15.88671875" bestFit="1" customWidth="1"/>
    <col min="2" max="2" width="14" bestFit="1" customWidth="1"/>
    <col min="3" max="3" width="15.109375" bestFit="1" customWidth="1"/>
    <col min="4" max="4" width="18.5546875" bestFit="1" customWidth="1"/>
    <col min="5" max="5" width="15.33203125" bestFit="1" customWidth="1"/>
    <col min="6" max="6" width="16.6640625" bestFit="1" customWidth="1"/>
    <col min="7" max="7" width="12" bestFit="1" customWidth="1"/>
    <col min="8" max="8" width="15.109375" bestFit="1" customWidth="1"/>
    <col min="9" max="9" width="18.5546875" bestFit="1" customWidth="1"/>
    <col min="10" max="10" width="19" bestFit="1" customWidth="1"/>
    <col min="11" max="11" width="16.5546875" bestFit="1" customWidth="1"/>
    <col min="12" max="12" width="13.88671875" bestFit="1" customWidth="1"/>
    <col min="13" max="13" width="37.5546875" bestFit="1" customWidth="1"/>
    <col min="14" max="15" width="14.109375" bestFit="1" customWidth="1"/>
    <col min="16" max="16" width="12.6640625" bestFit="1" customWidth="1"/>
    <col min="17" max="17" width="15.5546875" bestFit="1" customWidth="1"/>
    <col min="18" max="18" width="11.6640625" bestFit="1" customWidth="1"/>
  </cols>
  <sheetData>
    <row r="1" spans="1:18" x14ac:dyDescent="0.3">
      <c r="A1" t="s">
        <v>405</v>
      </c>
      <c r="B1" t="s">
        <v>406</v>
      </c>
      <c r="C1" t="s">
        <v>407</v>
      </c>
      <c r="D1" t="s">
        <v>408</v>
      </c>
      <c r="E1" t="s">
        <v>409</v>
      </c>
      <c r="F1" t="s">
        <v>410</v>
      </c>
      <c r="G1" t="s">
        <v>411</v>
      </c>
      <c r="H1" t="s">
        <v>412</v>
      </c>
      <c r="I1" t="s">
        <v>413</v>
      </c>
      <c r="J1" t="s">
        <v>7</v>
      </c>
      <c r="K1" t="s">
        <v>8</v>
      </c>
      <c r="L1" t="s">
        <v>9</v>
      </c>
      <c r="M1" t="s">
        <v>414</v>
      </c>
      <c r="N1" t="s">
        <v>415</v>
      </c>
      <c r="O1" t="s">
        <v>416</v>
      </c>
      <c r="P1" t="s">
        <v>417</v>
      </c>
      <c r="Q1" t="s">
        <v>418</v>
      </c>
      <c r="R1" t="s">
        <v>419</v>
      </c>
    </row>
    <row r="2" spans="1:18" x14ac:dyDescent="0.3">
      <c r="A2" t="s">
        <v>420</v>
      </c>
      <c r="B2" t="s">
        <v>421</v>
      </c>
      <c r="C2" t="s">
        <v>422</v>
      </c>
      <c r="D2" t="s">
        <v>423</v>
      </c>
      <c r="E2" t="s">
        <v>420</v>
      </c>
      <c r="F2" t="s">
        <v>424</v>
      </c>
      <c r="G2" t="s">
        <v>421</v>
      </c>
      <c r="H2" t="s">
        <v>422</v>
      </c>
      <c r="I2" t="s">
        <v>423</v>
      </c>
      <c r="J2" t="s">
        <v>425</v>
      </c>
      <c r="K2" t="s">
        <v>426</v>
      </c>
      <c r="L2" t="s">
        <v>427</v>
      </c>
      <c r="M2" t="s">
        <v>428</v>
      </c>
      <c r="N2" s="81" t="s">
        <v>429</v>
      </c>
      <c r="O2" t="s">
        <v>430</v>
      </c>
      <c r="P2" s="81" t="s">
        <v>429</v>
      </c>
      <c r="Q2" s="81" t="s">
        <v>431</v>
      </c>
      <c r="R2" s="81" t="s">
        <v>432</v>
      </c>
    </row>
  </sheetData>
  <pageMargins left="0.7" right="0.7" top="0.75" bottom="0.75" header="0.3" footer="0.3"/>
  <pageSetup orientation="portrait" useFirstPageNumber="1" horizontalDpi="4294967295" verticalDpi="4294967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1"/>
  <sheetViews>
    <sheetView zoomScaleNormal="100" workbookViewId="0">
      <selection sqref="A1:XFD1"/>
    </sheetView>
  </sheetViews>
  <sheetFormatPr defaultRowHeight="14.4" x14ac:dyDescent="0.3"/>
  <cols>
    <col min="1" max="1" width="14.6640625" bestFit="1" customWidth="1"/>
    <col min="2" max="5" width="15.33203125" customWidth="1"/>
  </cols>
  <sheetData>
    <row r="1" spans="1:5" x14ac:dyDescent="0.3">
      <c r="A1" t="s">
        <v>433</v>
      </c>
      <c r="B1" t="s">
        <v>24</v>
      </c>
      <c r="C1" t="s">
        <v>434</v>
      </c>
      <c r="D1" t="s">
        <v>26</v>
      </c>
      <c r="E1" t="s">
        <v>27</v>
      </c>
    </row>
  </sheetData>
  <pageMargins left="0.7" right="0.7" top="0.75" bottom="0.75" header="0.3" footer="0.3"/>
  <pageSetup orientation="portrait" useFirstPageNumber="1" horizontalDpi="4294967295" verticalDpi="429496729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N15"/>
  <sheetViews>
    <sheetView zoomScaleNormal="100" workbookViewId="0">
      <selection sqref="A1:XFD1"/>
    </sheetView>
  </sheetViews>
  <sheetFormatPr defaultRowHeight="14.4" x14ac:dyDescent="0.3"/>
  <cols>
    <col min="1" max="1" width="12.5546875" customWidth="1"/>
    <col min="2" max="2" width="13.88671875" bestFit="1" customWidth="1"/>
    <col min="3" max="4" width="12" style="111" bestFit="1" customWidth="1"/>
    <col min="5" max="5" width="15.33203125" style="110" bestFit="1" customWidth="1"/>
    <col min="6" max="7" width="12" style="111" bestFit="1" customWidth="1"/>
    <col min="8" max="8" width="8.33203125" bestFit="1" customWidth="1"/>
    <col min="9" max="9" width="8.6640625" bestFit="1" customWidth="1"/>
    <col min="12" max="12" width="10.44140625" bestFit="1" customWidth="1"/>
    <col min="14" max="14" width="12.5546875" customWidth="1"/>
  </cols>
  <sheetData>
    <row r="1" spans="1:14" x14ac:dyDescent="0.3">
      <c r="A1" t="s">
        <v>435</v>
      </c>
      <c r="B1" t="s">
        <v>32</v>
      </c>
      <c r="C1" s="111" t="s">
        <v>218</v>
      </c>
      <c r="D1" s="111" t="s">
        <v>5</v>
      </c>
      <c r="E1" s="110" t="s">
        <v>219</v>
      </c>
      <c r="F1" s="111" t="s">
        <v>220</v>
      </c>
      <c r="G1" s="111" t="s">
        <v>221</v>
      </c>
      <c r="H1" t="s">
        <v>12</v>
      </c>
      <c r="I1" t="s">
        <v>13</v>
      </c>
      <c r="J1" t="s">
        <v>436</v>
      </c>
      <c r="K1" t="s">
        <v>437</v>
      </c>
      <c r="L1" t="s">
        <v>438</v>
      </c>
      <c r="M1" t="s">
        <v>439</v>
      </c>
    </row>
    <row r="2" spans="1:14" x14ac:dyDescent="0.3">
      <c r="A2" t="s">
        <v>431</v>
      </c>
      <c r="B2" t="s">
        <v>440</v>
      </c>
      <c r="C2" s="111">
        <v>10.24</v>
      </c>
      <c r="D2" s="111">
        <v>53.363679302878666</v>
      </c>
      <c r="E2" s="110" t="s">
        <v>441</v>
      </c>
      <c r="F2" s="111">
        <v>0.68016382959072974</v>
      </c>
      <c r="G2" s="111">
        <v>53.363679302878666</v>
      </c>
      <c r="H2" t="s">
        <v>442</v>
      </c>
      <c r="I2" t="s">
        <v>443</v>
      </c>
      <c r="M2" s="112"/>
      <c r="N2" s="81"/>
    </row>
    <row r="3" spans="1:14" x14ac:dyDescent="0.3">
      <c r="A3" t="s">
        <v>432</v>
      </c>
      <c r="B3" t="s">
        <v>444</v>
      </c>
      <c r="C3" s="111">
        <v>7.2410000000000005</v>
      </c>
      <c r="D3" s="111">
        <v>52.979524149766576</v>
      </c>
      <c r="E3" s="110" t="s">
        <v>445</v>
      </c>
      <c r="F3" s="111">
        <v>0.36361620555198648</v>
      </c>
      <c r="G3" s="111">
        <v>52.979524149766576</v>
      </c>
      <c r="H3" t="s">
        <v>442</v>
      </c>
      <c r="I3" t="s">
        <v>443</v>
      </c>
      <c r="M3" s="112"/>
      <c r="N3" s="81"/>
    </row>
    <row r="4" spans="1:14" x14ac:dyDescent="0.3">
      <c r="M4" s="112"/>
      <c r="N4" s="81"/>
    </row>
    <row r="8" spans="1:14" x14ac:dyDescent="0.3">
      <c r="M8" s="112"/>
      <c r="N8" s="81"/>
    </row>
    <row r="9" spans="1:14" x14ac:dyDescent="0.3">
      <c r="M9" s="112"/>
      <c r="N9" s="81"/>
    </row>
    <row r="10" spans="1:14" x14ac:dyDescent="0.3">
      <c r="M10" s="112"/>
      <c r="N10" s="81"/>
    </row>
    <row r="13" spans="1:14" x14ac:dyDescent="0.3">
      <c r="M13" s="112"/>
      <c r="N13" s="81"/>
    </row>
    <row r="14" spans="1:14" x14ac:dyDescent="0.3">
      <c r="L14" s="81"/>
      <c r="M14" s="112"/>
      <c r="N14" s="81"/>
    </row>
    <row r="15" spans="1:14" x14ac:dyDescent="0.3">
      <c r="M15" s="112"/>
      <c r="N15" s="81"/>
    </row>
  </sheetData>
  <pageMargins left="0.7" right="0.7" top="0.75" bottom="0.75" header="0.3" footer="0.3"/>
  <pageSetup orientation="portrait" useFirstPageNumber="1" horizontalDpi="4294967295" verticalDpi="429496729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C16"/>
  <sheetViews>
    <sheetView zoomScaleNormal="100" workbookViewId="0">
      <selection sqref="A1:XFD1"/>
    </sheetView>
  </sheetViews>
  <sheetFormatPr defaultRowHeight="14.4" x14ac:dyDescent="0.3"/>
  <cols>
    <col min="1" max="1" width="31" bestFit="1" customWidth="1"/>
  </cols>
  <sheetData>
    <row r="1" spans="1:3" x14ac:dyDescent="0.3">
      <c r="A1" t="s">
        <v>446</v>
      </c>
      <c r="B1" t="s">
        <v>431</v>
      </c>
      <c r="C1" t="s">
        <v>432</v>
      </c>
    </row>
    <row r="2" spans="1:3" x14ac:dyDescent="0.3">
      <c r="A2" t="s">
        <v>222</v>
      </c>
      <c r="B2">
        <v>5812450</v>
      </c>
      <c r="C2">
        <v>10771905</v>
      </c>
    </row>
    <row r="3" spans="1:3" x14ac:dyDescent="0.3">
      <c r="A3" t="s">
        <v>223</v>
      </c>
      <c r="B3">
        <v>5773729</v>
      </c>
      <c r="C3">
        <v>7129656</v>
      </c>
    </row>
    <row r="4" spans="1:3" x14ac:dyDescent="0.3">
      <c r="A4" t="s">
        <v>224</v>
      </c>
      <c r="B4">
        <v>0</v>
      </c>
      <c r="C4">
        <v>430433</v>
      </c>
    </row>
    <row r="5" spans="1:3" x14ac:dyDescent="0.3">
      <c r="A5" t="s">
        <v>225</v>
      </c>
      <c r="B5">
        <v>3809470</v>
      </c>
      <c r="C5">
        <v>25636446</v>
      </c>
    </row>
    <row r="6" spans="1:3" x14ac:dyDescent="0.3">
      <c r="A6" t="s">
        <v>226</v>
      </c>
      <c r="B6">
        <v>-334145</v>
      </c>
      <c r="C6">
        <v>1713482</v>
      </c>
    </row>
    <row r="7" spans="1:3" x14ac:dyDescent="0.3">
      <c r="A7" t="s">
        <v>227</v>
      </c>
      <c r="B7">
        <v>-374282</v>
      </c>
      <c r="C7">
        <v>1642644</v>
      </c>
    </row>
    <row r="8" spans="1:3" x14ac:dyDescent="0.3">
      <c r="A8" t="s">
        <v>228</v>
      </c>
      <c r="B8">
        <v>0</v>
      </c>
      <c r="C8">
        <v>0</v>
      </c>
    </row>
    <row r="9" spans="1:3" x14ac:dyDescent="0.3">
      <c r="A9" t="s">
        <v>229</v>
      </c>
      <c r="B9">
        <v>0</v>
      </c>
      <c r="C9">
        <v>0</v>
      </c>
    </row>
    <row r="10" spans="1:3" x14ac:dyDescent="0.3">
      <c r="A10" t="s">
        <v>230</v>
      </c>
      <c r="B10">
        <v>0</v>
      </c>
      <c r="C10">
        <v>0</v>
      </c>
    </row>
    <row r="11" spans="1:3" x14ac:dyDescent="0.3">
      <c r="A11" t="s">
        <v>231</v>
      </c>
      <c r="B11">
        <v>0</v>
      </c>
      <c r="C11">
        <v>0</v>
      </c>
    </row>
    <row r="12" spans="1:3" x14ac:dyDescent="0.3">
      <c r="A12" t="s">
        <v>232</v>
      </c>
      <c r="B12">
        <v>150.11105085095943</v>
      </c>
      <c r="C12">
        <v>2.9574872558136471</v>
      </c>
    </row>
    <row r="13" spans="1:3" x14ac:dyDescent="0.3">
      <c r="A13" t="s">
        <v>233</v>
      </c>
      <c r="B13">
        <v>0.65539832600710546</v>
      </c>
      <c r="C13">
        <v>2.3799361394293768</v>
      </c>
    </row>
    <row r="14" spans="1:3" x14ac:dyDescent="0.3">
      <c r="A14" t="s">
        <v>234</v>
      </c>
      <c r="B14">
        <v>-8.771430146450819E-2</v>
      </c>
      <c r="C14">
        <v>6.6837735620608255E-2</v>
      </c>
    </row>
    <row r="15" spans="1:3" x14ac:dyDescent="0.3">
      <c r="A15" t="s">
        <v>235</v>
      </c>
      <c r="B15">
        <v>0</v>
      </c>
      <c r="C15">
        <v>0.25120368932968073</v>
      </c>
    </row>
    <row r="16" spans="1:3" x14ac:dyDescent="0.3">
      <c r="A16" t="s">
        <v>236</v>
      </c>
      <c r="B16">
        <v>-6.4825003043959981E-2</v>
      </c>
      <c r="C16">
        <v>0.24638764380914754</v>
      </c>
    </row>
  </sheetData>
  <pageMargins left="0.7" right="0.7" top="0.75" bottom="0.75" header="0.3" footer="0.3"/>
  <pageSetup orientation="portrait" useFirstPageNumber="1" horizontalDpi="4294967295" verticalDpi="429496729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C43"/>
  <sheetViews>
    <sheetView zoomScaleNormal="100" workbookViewId="0">
      <selection sqref="A1:XFD1"/>
    </sheetView>
  </sheetViews>
  <sheetFormatPr defaultRowHeight="14.4" x14ac:dyDescent="0.3"/>
  <cols>
    <col min="1" max="1" width="40.5546875" bestFit="1" customWidth="1"/>
  </cols>
  <sheetData>
    <row r="1" spans="1:3" x14ac:dyDescent="0.3">
      <c r="A1" t="s">
        <v>446</v>
      </c>
      <c r="B1" t="s">
        <v>431</v>
      </c>
      <c r="C1" t="s">
        <v>432</v>
      </c>
    </row>
    <row r="2" spans="1:3" x14ac:dyDescent="0.3">
      <c r="A2" t="s">
        <v>237</v>
      </c>
      <c r="B2">
        <v>8.1712014727008411E-2</v>
      </c>
      <c r="C2">
        <v>0.37897215023712144</v>
      </c>
    </row>
    <row r="3" spans="1:3" x14ac:dyDescent="0.3">
      <c r="A3" t="s">
        <v>238</v>
      </c>
      <c r="B3">
        <v>3</v>
      </c>
      <c r="C3">
        <v>1</v>
      </c>
    </row>
    <row r="4" spans="1:3" x14ac:dyDescent="0.3">
      <c r="A4" t="s">
        <v>239</v>
      </c>
      <c r="B4">
        <v>34.224167764262283</v>
      </c>
      <c r="C4">
        <v>1.8691335369149416</v>
      </c>
    </row>
    <row r="5" spans="1:3" x14ac:dyDescent="0.3">
      <c r="A5" t="s">
        <v>240</v>
      </c>
      <c r="B5">
        <v>1</v>
      </c>
      <c r="C5">
        <v>3</v>
      </c>
    </row>
    <row r="6" spans="1:3" x14ac:dyDescent="0.3">
      <c r="A6" t="s">
        <v>241</v>
      </c>
      <c r="B6">
        <v>0</v>
      </c>
      <c r="C6">
        <v>0</v>
      </c>
    </row>
    <row r="7" spans="1:3" x14ac:dyDescent="0.3">
      <c r="A7" t="s">
        <v>242</v>
      </c>
      <c r="B7">
        <v>4</v>
      </c>
      <c r="C7">
        <v>4</v>
      </c>
    </row>
    <row r="8" spans="1:3" x14ac:dyDescent="0.3">
      <c r="A8" t="s">
        <v>243</v>
      </c>
      <c r="B8">
        <v>-6.4393156070159746E-2</v>
      </c>
      <c r="C8">
        <v>0.1524933612021272</v>
      </c>
    </row>
    <row r="9" spans="1:3" x14ac:dyDescent="0.3">
      <c r="A9" t="s">
        <v>244</v>
      </c>
      <c r="B9">
        <v>10</v>
      </c>
      <c r="C9">
        <v>3</v>
      </c>
    </row>
    <row r="10" spans="1:3" x14ac:dyDescent="0.3">
      <c r="A10" t="s">
        <v>245</v>
      </c>
      <c r="B10">
        <v>0</v>
      </c>
      <c r="C10">
        <v>-6.4393156070159746E-2</v>
      </c>
    </row>
    <row r="11" spans="1:3" x14ac:dyDescent="0.3">
      <c r="A11" t="s">
        <v>246</v>
      </c>
      <c r="B11">
        <v>8</v>
      </c>
      <c r="C11">
        <v>10</v>
      </c>
    </row>
    <row r="12" spans="1:3" x14ac:dyDescent="0.3">
      <c r="A12" t="s">
        <v>247</v>
      </c>
      <c r="B12">
        <v>227.78414877809271</v>
      </c>
      <c r="C12">
        <v>423.41184828071687</v>
      </c>
    </row>
    <row r="13" spans="1:3" x14ac:dyDescent="0.3">
      <c r="A13" t="s">
        <v>248</v>
      </c>
      <c r="B13">
        <v>9</v>
      </c>
      <c r="C13">
        <v>9</v>
      </c>
    </row>
    <row r="14" spans="1:3" x14ac:dyDescent="0.3">
      <c r="A14" t="s">
        <v>249</v>
      </c>
      <c r="B14">
        <v>0</v>
      </c>
      <c r="C14">
        <v>0</v>
      </c>
    </row>
    <row r="15" spans="1:3" x14ac:dyDescent="0.3">
      <c r="A15" t="s">
        <v>250</v>
      </c>
      <c r="B15">
        <v>8</v>
      </c>
      <c r="C15">
        <v>1</v>
      </c>
    </row>
    <row r="16" spans="1:3" x14ac:dyDescent="0.3">
      <c r="A16" t="s">
        <v>251</v>
      </c>
      <c r="B16">
        <v>6.661734724599782E-3</v>
      </c>
      <c r="C16">
        <v>0.3381248720630195</v>
      </c>
    </row>
    <row r="17" spans="1:3" x14ac:dyDescent="0.3">
      <c r="A17" t="s">
        <v>252</v>
      </c>
      <c r="B17">
        <v>1</v>
      </c>
      <c r="C17">
        <v>3</v>
      </c>
    </row>
    <row r="18" spans="1:3" x14ac:dyDescent="0.3">
      <c r="A18" t="s">
        <v>253</v>
      </c>
      <c r="B18">
        <v>0</v>
      </c>
      <c r="C18">
        <v>0</v>
      </c>
    </row>
    <row r="19" spans="1:3" x14ac:dyDescent="0.3">
      <c r="A19" t="s">
        <v>254</v>
      </c>
      <c r="B19">
        <v>0</v>
      </c>
      <c r="C19">
        <v>0</v>
      </c>
    </row>
    <row r="20" spans="1:3" x14ac:dyDescent="0.3">
      <c r="A20" t="s">
        <v>255</v>
      </c>
      <c r="B20">
        <v>0</v>
      </c>
      <c r="C20">
        <v>0</v>
      </c>
    </row>
    <row r="21" spans="1:3" x14ac:dyDescent="0.3">
      <c r="A21" t="s">
        <v>256</v>
      </c>
      <c r="B21">
        <v>0</v>
      </c>
      <c r="C21">
        <v>0</v>
      </c>
    </row>
    <row r="22" spans="1:3" x14ac:dyDescent="0.3">
      <c r="A22" t="s">
        <v>447</v>
      </c>
      <c r="B22">
        <v>0</v>
      </c>
      <c r="C22">
        <v>0</v>
      </c>
    </row>
    <row r="23" spans="1:3" x14ac:dyDescent="0.3">
      <c r="A23" t="s">
        <v>448</v>
      </c>
      <c r="B23">
        <v>0</v>
      </c>
      <c r="C23">
        <v>0</v>
      </c>
    </row>
    <row r="24" spans="1:3" x14ac:dyDescent="0.3">
      <c r="A24" t="s">
        <v>449</v>
      </c>
      <c r="B24">
        <v>0</v>
      </c>
      <c r="C24">
        <v>0</v>
      </c>
    </row>
    <row r="25" spans="1:3" x14ac:dyDescent="0.3">
      <c r="A25" t="s">
        <v>450</v>
      </c>
      <c r="B25">
        <v>0</v>
      </c>
      <c r="C25">
        <v>0</v>
      </c>
    </row>
    <row r="26" spans="1:3" x14ac:dyDescent="0.3">
      <c r="A26" t="s">
        <v>383</v>
      </c>
      <c r="B26">
        <v>0</v>
      </c>
      <c r="C26">
        <v>0</v>
      </c>
    </row>
    <row r="27" spans="1:3" x14ac:dyDescent="0.3">
      <c r="A27" t="s">
        <v>451</v>
      </c>
      <c r="B27">
        <v>0</v>
      </c>
      <c r="C27">
        <v>0</v>
      </c>
    </row>
    <row r="28" spans="1:3" x14ac:dyDescent="0.3">
      <c r="A28" t="s">
        <v>452</v>
      </c>
      <c r="B28">
        <v>0</v>
      </c>
      <c r="C28">
        <v>0</v>
      </c>
    </row>
    <row r="29" spans="1:3" x14ac:dyDescent="0.3">
      <c r="A29" t="s">
        <v>453</v>
      </c>
      <c r="B29">
        <v>0</v>
      </c>
      <c r="C29">
        <v>0</v>
      </c>
    </row>
    <row r="30" spans="1:3" x14ac:dyDescent="0.3">
      <c r="A30" t="s">
        <v>454</v>
      </c>
      <c r="B30">
        <v>0</v>
      </c>
      <c r="C30">
        <v>0</v>
      </c>
    </row>
    <row r="31" spans="1:3" x14ac:dyDescent="0.3">
      <c r="A31" t="s">
        <v>455</v>
      </c>
      <c r="B31">
        <v>0</v>
      </c>
      <c r="C31">
        <v>0</v>
      </c>
    </row>
    <row r="32" spans="1:3" x14ac:dyDescent="0.3">
      <c r="A32" t="s">
        <v>456</v>
      </c>
      <c r="B32">
        <v>0</v>
      </c>
      <c r="C32">
        <v>0</v>
      </c>
    </row>
    <row r="33" spans="1:3" x14ac:dyDescent="0.3">
      <c r="A33" t="s">
        <v>457</v>
      </c>
      <c r="B33">
        <v>0</v>
      </c>
      <c r="C33">
        <v>0</v>
      </c>
    </row>
    <row r="34" spans="1:3" x14ac:dyDescent="0.3">
      <c r="A34" t="s">
        <v>458</v>
      </c>
      <c r="B34">
        <v>0</v>
      </c>
      <c r="C34">
        <v>0</v>
      </c>
    </row>
    <row r="35" spans="1:3" x14ac:dyDescent="0.3">
      <c r="A35" t="s">
        <v>459</v>
      </c>
      <c r="B35">
        <v>0</v>
      </c>
      <c r="C35">
        <v>0</v>
      </c>
    </row>
    <row r="36" spans="1:3" x14ac:dyDescent="0.3">
      <c r="A36" t="s">
        <v>460</v>
      </c>
      <c r="B36">
        <v>0</v>
      </c>
      <c r="C36">
        <v>0</v>
      </c>
    </row>
    <row r="37" spans="1:3" x14ac:dyDescent="0.3">
      <c r="A37" t="s">
        <v>461</v>
      </c>
      <c r="B37">
        <v>0</v>
      </c>
      <c r="C37">
        <v>0</v>
      </c>
    </row>
    <row r="38" spans="1:3" x14ac:dyDescent="0.3">
      <c r="A38" t="s">
        <v>462</v>
      </c>
      <c r="B38">
        <v>0</v>
      </c>
      <c r="C38">
        <v>0</v>
      </c>
    </row>
    <row r="39" spans="1:3" x14ac:dyDescent="0.3">
      <c r="A39" t="s">
        <v>463</v>
      </c>
      <c r="B39">
        <v>0</v>
      </c>
      <c r="C39">
        <v>0</v>
      </c>
    </row>
    <row r="40" spans="1:3" x14ac:dyDescent="0.3">
      <c r="A40" t="s">
        <v>464</v>
      </c>
      <c r="B40">
        <v>0</v>
      </c>
      <c r="C40">
        <v>0</v>
      </c>
    </row>
    <row r="41" spans="1:3" x14ac:dyDescent="0.3">
      <c r="A41" t="s">
        <v>465</v>
      </c>
      <c r="B41">
        <v>0</v>
      </c>
      <c r="C41">
        <v>0</v>
      </c>
    </row>
    <row r="42" spans="1:3" x14ac:dyDescent="0.3">
      <c r="A42" t="s">
        <v>466</v>
      </c>
      <c r="B42">
        <v>0</v>
      </c>
      <c r="C42">
        <v>0</v>
      </c>
    </row>
    <row r="43" spans="1:3" x14ac:dyDescent="0.3">
      <c r="A43" t="s">
        <v>467</v>
      </c>
      <c r="B43">
        <v>0</v>
      </c>
      <c r="C43">
        <v>0</v>
      </c>
    </row>
  </sheetData>
  <pageMargins left="0.7" right="0.7" top="0.75" bottom="0.75" header="0.3" footer="0.3"/>
  <pageSetup orientation="portrait" useFirstPageNumber="1" horizontalDpi="4294967295" verticalDpi="429496729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C75"/>
  <sheetViews>
    <sheetView zoomScaleNormal="100" workbookViewId="0">
      <selection sqref="A1:XFD1"/>
    </sheetView>
  </sheetViews>
  <sheetFormatPr defaultRowHeight="14.4" x14ac:dyDescent="0.3"/>
  <cols>
    <col min="1" max="1" width="74.88671875" bestFit="1" customWidth="1"/>
    <col min="2" max="3" width="10.44140625" bestFit="1" customWidth="1"/>
  </cols>
  <sheetData>
    <row r="1" spans="1:3" x14ac:dyDescent="0.3">
      <c r="A1" t="s">
        <v>446</v>
      </c>
      <c r="B1" t="s">
        <v>431</v>
      </c>
      <c r="C1" t="s">
        <v>432</v>
      </c>
    </row>
    <row r="2" spans="1:3" x14ac:dyDescent="0.3">
      <c r="A2" t="s">
        <v>257</v>
      </c>
      <c r="B2">
        <v>0</v>
      </c>
      <c r="C2">
        <v>0</v>
      </c>
    </row>
    <row r="3" spans="1:3" x14ac:dyDescent="0.3">
      <c r="A3" t="s">
        <v>258</v>
      </c>
      <c r="B3">
        <v>0</v>
      </c>
      <c r="C3">
        <v>0</v>
      </c>
    </row>
    <row r="4" spans="1:3" x14ac:dyDescent="0.3">
      <c r="A4" t="s">
        <v>259</v>
      </c>
      <c r="B4">
        <v>4487256</v>
      </c>
      <c r="C4">
        <v>4768592</v>
      </c>
    </row>
    <row r="5" spans="1:3" x14ac:dyDescent="0.3">
      <c r="A5" t="s">
        <v>260</v>
      </c>
      <c r="B5">
        <v>0</v>
      </c>
      <c r="C5">
        <v>0</v>
      </c>
    </row>
    <row r="6" spans="1:3" x14ac:dyDescent="0.3">
      <c r="A6" t="s">
        <v>261</v>
      </c>
      <c r="B6">
        <v>0</v>
      </c>
      <c r="C6">
        <v>0</v>
      </c>
    </row>
    <row r="7" spans="1:3" x14ac:dyDescent="0.3">
      <c r="A7" t="s">
        <v>262</v>
      </c>
      <c r="B7">
        <v>0</v>
      </c>
      <c r="C7">
        <v>0</v>
      </c>
    </row>
    <row r="8" spans="1:3" x14ac:dyDescent="0.3">
      <c r="A8" t="s">
        <v>263</v>
      </c>
      <c r="B8">
        <v>0</v>
      </c>
      <c r="C8">
        <v>0</v>
      </c>
    </row>
    <row r="9" spans="1:3" x14ac:dyDescent="0.3">
      <c r="A9" t="s">
        <v>264</v>
      </c>
      <c r="B9">
        <v>0</v>
      </c>
      <c r="C9">
        <v>0</v>
      </c>
    </row>
    <row r="10" spans="1:3" x14ac:dyDescent="0.3">
      <c r="A10" t="s">
        <v>265</v>
      </c>
      <c r="B10">
        <v>0</v>
      </c>
      <c r="C10">
        <v>0</v>
      </c>
    </row>
    <row r="11" spans="1:3" x14ac:dyDescent="0.3">
      <c r="A11" t="s">
        <v>266</v>
      </c>
      <c r="B11">
        <v>0</v>
      </c>
      <c r="C11">
        <v>0</v>
      </c>
    </row>
    <row r="12" spans="1:3" x14ac:dyDescent="0.3">
      <c r="A12" t="s">
        <v>267</v>
      </c>
      <c r="B12">
        <v>0</v>
      </c>
      <c r="C12">
        <v>0</v>
      </c>
    </row>
    <row r="13" spans="1:3" x14ac:dyDescent="0.3">
      <c r="A13" t="s">
        <v>268</v>
      </c>
      <c r="B13">
        <v>0</v>
      </c>
      <c r="C13">
        <v>0</v>
      </c>
    </row>
    <row r="14" spans="1:3" x14ac:dyDescent="0.3">
      <c r="A14" t="s">
        <v>269</v>
      </c>
      <c r="B14">
        <v>0</v>
      </c>
      <c r="C14">
        <v>0</v>
      </c>
    </row>
    <row r="15" spans="1:3" x14ac:dyDescent="0.3">
      <c r="A15" t="s">
        <v>270</v>
      </c>
      <c r="B15">
        <v>0</v>
      </c>
      <c r="C15">
        <v>0</v>
      </c>
    </row>
    <row r="16" spans="1:3" x14ac:dyDescent="0.3">
      <c r="A16" t="s">
        <v>271</v>
      </c>
      <c r="B16">
        <v>0</v>
      </c>
      <c r="C16">
        <v>0</v>
      </c>
    </row>
    <row r="17" spans="1:3" x14ac:dyDescent="0.3">
      <c r="A17" t="s">
        <v>272</v>
      </c>
      <c r="B17">
        <v>0</v>
      </c>
      <c r="C17">
        <v>0</v>
      </c>
    </row>
    <row r="18" spans="1:3" x14ac:dyDescent="0.3">
      <c r="A18" t="s">
        <v>400</v>
      </c>
      <c r="B18">
        <v>0</v>
      </c>
      <c r="C18">
        <v>0</v>
      </c>
    </row>
    <row r="19" spans="1:3" x14ac:dyDescent="0.3">
      <c r="A19" t="s">
        <v>273</v>
      </c>
      <c r="B19">
        <v>4487256</v>
      </c>
      <c r="C19">
        <v>4768592</v>
      </c>
    </row>
    <row r="20" spans="1:3" x14ac:dyDescent="0.3">
      <c r="A20" t="s">
        <v>274</v>
      </c>
      <c r="B20">
        <v>474947</v>
      </c>
      <c r="C20">
        <v>327776</v>
      </c>
    </row>
    <row r="21" spans="1:3" x14ac:dyDescent="0.3">
      <c r="A21" t="s">
        <v>275</v>
      </c>
      <c r="B21">
        <v>0</v>
      </c>
      <c r="C21">
        <v>3754476</v>
      </c>
    </row>
    <row r="22" spans="1:3" x14ac:dyDescent="0.3">
      <c r="A22" t="s">
        <v>276</v>
      </c>
      <c r="B22">
        <v>850247</v>
      </c>
      <c r="C22">
        <v>1921061</v>
      </c>
    </row>
    <row r="23" spans="1:3" x14ac:dyDescent="0.3">
      <c r="A23" t="s">
        <v>277</v>
      </c>
      <c r="B23">
        <v>0</v>
      </c>
      <c r="C23">
        <v>0</v>
      </c>
    </row>
    <row r="24" spans="1:3" x14ac:dyDescent="0.3">
      <c r="A24" t="s">
        <v>278</v>
      </c>
      <c r="B24">
        <v>0</v>
      </c>
      <c r="C24">
        <v>0</v>
      </c>
    </row>
    <row r="25" spans="1:3" x14ac:dyDescent="0.3">
      <c r="A25" t="s">
        <v>279</v>
      </c>
      <c r="B25">
        <v>0</v>
      </c>
      <c r="C25">
        <v>0</v>
      </c>
    </row>
    <row r="26" spans="1:3" x14ac:dyDescent="0.3">
      <c r="A26" t="s">
        <v>280</v>
      </c>
      <c r="B26">
        <v>0</v>
      </c>
      <c r="C26">
        <v>0</v>
      </c>
    </row>
    <row r="27" spans="1:3" x14ac:dyDescent="0.3">
      <c r="A27" t="s">
        <v>281</v>
      </c>
      <c r="B27">
        <v>0</v>
      </c>
      <c r="C27">
        <v>0</v>
      </c>
    </row>
    <row r="28" spans="1:3" x14ac:dyDescent="0.3">
      <c r="A28" t="s">
        <v>282</v>
      </c>
      <c r="B28">
        <v>0</v>
      </c>
      <c r="C28">
        <v>0</v>
      </c>
    </row>
    <row r="29" spans="1:3" x14ac:dyDescent="0.3">
      <c r="A29" t="s">
        <v>283</v>
      </c>
      <c r="B29">
        <v>0</v>
      </c>
      <c r="C29">
        <v>0</v>
      </c>
    </row>
    <row r="30" spans="1:3" x14ac:dyDescent="0.3">
      <c r="A30" t="s">
        <v>284</v>
      </c>
      <c r="B30">
        <v>1325194</v>
      </c>
      <c r="C30">
        <v>6003313</v>
      </c>
    </row>
    <row r="31" spans="1:3" x14ac:dyDescent="0.3">
      <c r="A31" t="s">
        <v>222</v>
      </c>
      <c r="B31">
        <v>5812450</v>
      </c>
      <c r="C31">
        <v>10771905</v>
      </c>
    </row>
    <row r="32" spans="1:3" x14ac:dyDescent="0.3">
      <c r="A32" t="s">
        <v>285</v>
      </c>
      <c r="B32">
        <v>0</v>
      </c>
      <c r="C32">
        <v>0</v>
      </c>
    </row>
    <row r="33" spans="1:3" x14ac:dyDescent="0.3">
      <c r="A33" t="s">
        <v>286</v>
      </c>
      <c r="B33">
        <v>0</v>
      </c>
      <c r="C33">
        <v>0</v>
      </c>
    </row>
    <row r="34" spans="1:3" x14ac:dyDescent="0.3">
      <c r="A34" t="s">
        <v>287</v>
      </c>
      <c r="B34">
        <v>0</v>
      </c>
      <c r="C34">
        <v>0</v>
      </c>
    </row>
    <row r="35" spans="1:3" x14ac:dyDescent="0.3">
      <c r="A35" t="s">
        <v>288</v>
      </c>
      <c r="B35">
        <v>0</v>
      </c>
      <c r="C35">
        <v>0</v>
      </c>
    </row>
    <row r="36" spans="1:3" x14ac:dyDescent="0.3">
      <c r="A36" t="s">
        <v>289</v>
      </c>
      <c r="B36">
        <v>0</v>
      </c>
      <c r="C36">
        <v>430433</v>
      </c>
    </row>
    <row r="37" spans="1:3" x14ac:dyDescent="0.3">
      <c r="A37" t="s">
        <v>290</v>
      </c>
      <c r="B37">
        <v>0</v>
      </c>
      <c r="C37">
        <v>0</v>
      </c>
    </row>
    <row r="38" spans="1:3" x14ac:dyDescent="0.3">
      <c r="A38" t="s">
        <v>291</v>
      </c>
      <c r="B38">
        <v>0</v>
      </c>
      <c r="C38">
        <v>0</v>
      </c>
    </row>
    <row r="39" spans="1:3" x14ac:dyDescent="0.3">
      <c r="A39" t="s">
        <v>292</v>
      </c>
      <c r="B39">
        <v>0</v>
      </c>
      <c r="C39">
        <v>0</v>
      </c>
    </row>
    <row r="40" spans="1:3" x14ac:dyDescent="0.3">
      <c r="A40" t="s">
        <v>293</v>
      </c>
      <c r="B40">
        <v>0</v>
      </c>
      <c r="C40">
        <v>0</v>
      </c>
    </row>
    <row r="41" spans="1:3" x14ac:dyDescent="0.3">
      <c r="A41" t="s">
        <v>294</v>
      </c>
      <c r="B41">
        <v>0</v>
      </c>
      <c r="C41">
        <v>0</v>
      </c>
    </row>
    <row r="42" spans="1:3" x14ac:dyDescent="0.3">
      <c r="A42" t="s">
        <v>295</v>
      </c>
      <c r="B42">
        <v>0</v>
      </c>
      <c r="C42">
        <v>0</v>
      </c>
    </row>
    <row r="43" spans="1:3" x14ac:dyDescent="0.3">
      <c r="A43" t="s">
        <v>296</v>
      </c>
      <c r="B43">
        <v>0</v>
      </c>
      <c r="C43">
        <v>0</v>
      </c>
    </row>
    <row r="44" spans="1:3" x14ac:dyDescent="0.3">
      <c r="A44" t="s">
        <v>297</v>
      </c>
      <c r="B44">
        <v>0</v>
      </c>
      <c r="C44">
        <v>0</v>
      </c>
    </row>
    <row r="45" spans="1:3" x14ac:dyDescent="0.3">
      <c r="A45" t="s">
        <v>298</v>
      </c>
      <c r="B45">
        <v>0</v>
      </c>
      <c r="C45">
        <v>0</v>
      </c>
    </row>
    <row r="46" spans="1:3" x14ac:dyDescent="0.3">
      <c r="A46" t="s">
        <v>299</v>
      </c>
      <c r="B46">
        <v>0</v>
      </c>
      <c r="C46">
        <v>430433</v>
      </c>
    </row>
    <row r="47" spans="1:3" x14ac:dyDescent="0.3">
      <c r="A47" t="s">
        <v>300</v>
      </c>
      <c r="B47">
        <v>0</v>
      </c>
      <c r="C47">
        <v>0</v>
      </c>
    </row>
    <row r="48" spans="1:3" x14ac:dyDescent="0.3">
      <c r="A48" t="s">
        <v>301</v>
      </c>
      <c r="B48">
        <v>0</v>
      </c>
      <c r="C48">
        <v>0</v>
      </c>
    </row>
    <row r="49" spans="1:3" x14ac:dyDescent="0.3">
      <c r="A49" t="s">
        <v>302</v>
      </c>
      <c r="B49">
        <v>1685</v>
      </c>
      <c r="C49">
        <v>3129332</v>
      </c>
    </row>
    <row r="50" spans="1:3" x14ac:dyDescent="0.3">
      <c r="A50" t="s">
        <v>303</v>
      </c>
      <c r="B50">
        <v>0</v>
      </c>
      <c r="C50">
        <v>0</v>
      </c>
    </row>
    <row r="51" spans="1:3" x14ac:dyDescent="0.3">
      <c r="A51" t="s">
        <v>304</v>
      </c>
      <c r="B51">
        <v>0</v>
      </c>
      <c r="C51">
        <v>0</v>
      </c>
    </row>
    <row r="52" spans="1:3" x14ac:dyDescent="0.3">
      <c r="A52" t="s">
        <v>305</v>
      </c>
      <c r="B52">
        <v>0</v>
      </c>
      <c r="C52">
        <v>0</v>
      </c>
    </row>
    <row r="53" spans="1:3" x14ac:dyDescent="0.3">
      <c r="A53" t="s">
        <v>306</v>
      </c>
      <c r="B53">
        <v>0</v>
      </c>
      <c r="C53">
        <v>0</v>
      </c>
    </row>
    <row r="54" spans="1:3" x14ac:dyDescent="0.3">
      <c r="A54" t="s">
        <v>307</v>
      </c>
      <c r="B54">
        <v>0</v>
      </c>
      <c r="C54">
        <v>0</v>
      </c>
    </row>
    <row r="55" spans="1:3" x14ac:dyDescent="0.3">
      <c r="A55" t="s">
        <v>308</v>
      </c>
      <c r="B55">
        <v>0</v>
      </c>
      <c r="C55">
        <v>0</v>
      </c>
    </row>
    <row r="56" spans="1:3" x14ac:dyDescent="0.3">
      <c r="A56" t="s">
        <v>309</v>
      </c>
      <c r="B56">
        <v>0</v>
      </c>
      <c r="C56">
        <v>0</v>
      </c>
    </row>
    <row r="57" spans="1:3" x14ac:dyDescent="0.3">
      <c r="A57" t="s">
        <v>310</v>
      </c>
      <c r="B57">
        <v>37036</v>
      </c>
      <c r="C57">
        <v>82484</v>
      </c>
    </row>
    <row r="58" spans="1:3" x14ac:dyDescent="0.3">
      <c r="A58" t="s">
        <v>311</v>
      </c>
      <c r="B58">
        <v>0</v>
      </c>
      <c r="C58">
        <v>0</v>
      </c>
    </row>
    <row r="59" spans="1:3" x14ac:dyDescent="0.3">
      <c r="A59" t="s">
        <v>312</v>
      </c>
      <c r="B59">
        <v>0</v>
      </c>
      <c r="C59">
        <v>0</v>
      </c>
    </row>
    <row r="60" spans="1:3" x14ac:dyDescent="0.3">
      <c r="A60" t="s">
        <v>313</v>
      </c>
      <c r="B60">
        <v>0</v>
      </c>
      <c r="C60">
        <v>0</v>
      </c>
    </row>
    <row r="61" spans="1:3" x14ac:dyDescent="0.3">
      <c r="A61" t="s">
        <v>314</v>
      </c>
      <c r="B61">
        <v>38721</v>
      </c>
      <c r="C61">
        <v>3211816</v>
      </c>
    </row>
    <row r="62" spans="1:3" x14ac:dyDescent="0.3">
      <c r="A62" t="s">
        <v>315</v>
      </c>
      <c r="B62">
        <v>38721</v>
      </c>
      <c r="C62">
        <v>3642249</v>
      </c>
    </row>
    <row r="63" spans="1:3" x14ac:dyDescent="0.3">
      <c r="A63" t="s">
        <v>316</v>
      </c>
      <c r="B63">
        <v>0</v>
      </c>
      <c r="C63">
        <v>0</v>
      </c>
    </row>
    <row r="64" spans="1:3" x14ac:dyDescent="0.3">
      <c r="A64" t="s">
        <v>317</v>
      </c>
      <c r="B64">
        <v>0</v>
      </c>
      <c r="C64">
        <v>0</v>
      </c>
    </row>
    <row r="65" spans="1:3" x14ac:dyDescent="0.3">
      <c r="A65" t="s">
        <v>318</v>
      </c>
      <c r="B65">
        <v>0</v>
      </c>
      <c r="C65">
        <v>0</v>
      </c>
    </row>
    <row r="66" spans="1:3" x14ac:dyDescent="0.3">
      <c r="A66" t="s">
        <v>319</v>
      </c>
      <c r="B66">
        <v>100</v>
      </c>
      <c r="C66">
        <v>100</v>
      </c>
    </row>
    <row r="67" spans="1:3" x14ac:dyDescent="0.3">
      <c r="A67" t="s">
        <v>320</v>
      </c>
      <c r="B67">
        <v>0</v>
      </c>
      <c r="C67">
        <v>0</v>
      </c>
    </row>
    <row r="68" spans="1:3" x14ac:dyDescent="0.3">
      <c r="A68" t="s">
        <v>321</v>
      </c>
      <c r="B68">
        <v>0</v>
      </c>
      <c r="C68">
        <v>0</v>
      </c>
    </row>
    <row r="69" spans="1:3" x14ac:dyDescent="0.3">
      <c r="A69" t="s">
        <v>322</v>
      </c>
      <c r="B69">
        <v>-244314</v>
      </c>
      <c r="C69">
        <v>1111613</v>
      </c>
    </row>
    <row r="70" spans="1:3" x14ac:dyDescent="0.3">
      <c r="A70" t="s">
        <v>323</v>
      </c>
      <c r="B70">
        <v>0</v>
      </c>
      <c r="C70">
        <v>0</v>
      </c>
    </row>
    <row r="71" spans="1:3" x14ac:dyDescent="0.3">
      <c r="A71" t="s">
        <v>324</v>
      </c>
      <c r="B71">
        <v>6017943</v>
      </c>
      <c r="C71">
        <v>6017943</v>
      </c>
    </row>
    <row r="72" spans="1:3" x14ac:dyDescent="0.3">
      <c r="A72" t="s">
        <v>325</v>
      </c>
      <c r="B72">
        <v>0</v>
      </c>
      <c r="C72">
        <v>0</v>
      </c>
    </row>
    <row r="73" spans="1:3" x14ac:dyDescent="0.3">
      <c r="A73" t="s">
        <v>326</v>
      </c>
      <c r="B73">
        <v>0</v>
      </c>
      <c r="C73">
        <v>0</v>
      </c>
    </row>
    <row r="74" spans="1:3" x14ac:dyDescent="0.3">
      <c r="A74" t="s">
        <v>327</v>
      </c>
      <c r="B74">
        <v>5773729</v>
      </c>
      <c r="C74">
        <v>7129656</v>
      </c>
    </row>
    <row r="75" spans="1:3" x14ac:dyDescent="0.3">
      <c r="A75" t="s">
        <v>328</v>
      </c>
      <c r="B75">
        <v>5812450</v>
      </c>
      <c r="C75">
        <v>10771905</v>
      </c>
    </row>
  </sheetData>
  <pageMargins left="0.7" right="0.7" top="0.75" bottom="0.75" header="0.3" footer="0.3"/>
  <pageSetup orientation="portrait" useFirstPageNumber="1" horizontalDpi="4294967295" verticalDpi="429496729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35"/>
  <sheetViews>
    <sheetView zoomScaleNormal="100" workbookViewId="0">
      <selection sqref="A1:XFD1"/>
    </sheetView>
  </sheetViews>
  <sheetFormatPr defaultRowHeight="14.4" x14ac:dyDescent="0.3"/>
  <cols>
    <col min="1" max="1" width="43.109375" bestFit="1" customWidth="1"/>
    <col min="3" max="3" width="9.6640625" bestFit="1" customWidth="1"/>
  </cols>
  <sheetData>
    <row r="1" spans="1:3" x14ac:dyDescent="0.3">
      <c r="A1" t="s">
        <v>446</v>
      </c>
      <c r="B1" t="s">
        <v>431</v>
      </c>
      <c r="C1" t="s">
        <v>432</v>
      </c>
    </row>
    <row r="2" spans="1:3" x14ac:dyDescent="0.3">
      <c r="A2" t="s">
        <v>329</v>
      </c>
      <c r="B2">
        <v>3809470</v>
      </c>
      <c r="C2">
        <v>25636446</v>
      </c>
    </row>
    <row r="3" spans="1:3" x14ac:dyDescent="0.3">
      <c r="A3" t="s">
        <v>330</v>
      </c>
      <c r="B3">
        <v>-3408121</v>
      </c>
      <c r="C3">
        <v>-20164488</v>
      </c>
    </row>
    <row r="4" spans="1:3" x14ac:dyDescent="0.3">
      <c r="A4" t="s">
        <v>331</v>
      </c>
      <c r="B4">
        <v>401349</v>
      </c>
      <c r="C4">
        <v>5471958</v>
      </c>
    </row>
    <row r="5" spans="1:3" x14ac:dyDescent="0.3">
      <c r="A5" t="s">
        <v>332</v>
      </c>
      <c r="B5">
        <v>0</v>
      </c>
      <c r="C5">
        <v>0</v>
      </c>
    </row>
    <row r="6" spans="1:3" x14ac:dyDescent="0.3">
      <c r="A6" t="s">
        <v>333</v>
      </c>
      <c r="B6">
        <v>401349</v>
      </c>
      <c r="C6">
        <v>5471958</v>
      </c>
    </row>
    <row r="7" spans="1:3" x14ac:dyDescent="0.3">
      <c r="A7" t="s">
        <v>334</v>
      </c>
      <c r="B7">
        <v>-780226</v>
      </c>
      <c r="C7">
        <v>-4094056</v>
      </c>
    </row>
    <row r="8" spans="1:3" x14ac:dyDescent="0.3">
      <c r="A8" t="s">
        <v>335</v>
      </c>
      <c r="B8">
        <v>-134363</v>
      </c>
      <c r="C8">
        <v>-2411845</v>
      </c>
    </row>
    <row r="9" spans="1:3" x14ac:dyDescent="0.3">
      <c r="A9" t="s">
        <v>336</v>
      </c>
      <c r="B9">
        <v>-196342</v>
      </c>
      <c r="C9">
        <v>0</v>
      </c>
    </row>
    <row r="10" spans="1:3" x14ac:dyDescent="0.3">
      <c r="A10" t="s">
        <v>337</v>
      </c>
      <c r="B10">
        <v>0</v>
      </c>
      <c r="C10">
        <v>0</v>
      </c>
    </row>
    <row r="11" spans="1:3" x14ac:dyDescent="0.3">
      <c r="A11" t="s">
        <v>338</v>
      </c>
      <c r="B11">
        <v>-398307</v>
      </c>
      <c r="C11">
        <v>-1274780</v>
      </c>
    </row>
    <row r="12" spans="1:3" x14ac:dyDescent="0.3">
      <c r="A12" t="s">
        <v>339</v>
      </c>
      <c r="B12">
        <v>0</v>
      </c>
      <c r="C12">
        <v>0</v>
      </c>
    </row>
    <row r="13" spans="1:3" x14ac:dyDescent="0.3">
      <c r="A13" t="s">
        <v>340</v>
      </c>
      <c r="B13">
        <v>0</v>
      </c>
      <c r="C13">
        <v>0</v>
      </c>
    </row>
    <row r="14" spans="1:3" x14ac:dyDescent="0.3">
      <c r="A14" t="s">
        <v>341</v>
      </c>
      <c r="B14">
        <v>-11077</v>
      </c>
      <c r="C14">
        <v>-336593</v>
      </c>
    </row>
    <row r="15" spans="1:3" x14ac:dyDescent="0.3">
      <c r="A15" t="s">
        <v>342</v>
      </c>
      <c r="B15">
        <v>-40137</v>
      </c>
      <c r="C15">
        <v>-70838</v>
      </c>
    </row>
    <row r="16" spans="1:3" x14ac:dyDescent="0.3">
      <c r="A16" t="s">
        <v>343</v>
      </c>
      <c r="B16">
        <v>0</v>
      </c>
      <c r="C16">
        <v>0</v>
      </c>
    </row>
    <row r="17" spans="1:3" x14ac:dyDescent="0.3">
      <c r="A17" t="s">
        <v>344</v>
      </c>
      <c r="B17">
        <v>0</v>
      </c>
      <c r="C17">
        <v>0</v>
      </c>
    </row>
    <row r="18" spans="1:3" x14ac:dyDescent="0.3">
      <c r="A18" t="s">
        <v>345</v>
      </c>
      <c r="B18">
        <v>-378877</v>
      </c>
      <c r="C18">
        <v>1377902</v>
      </c>
    </row>
    <row r="19" spans="1:3" x14ac:dyDescent="0.3">
      <c r="A19" t="s">
        <v>346</v>
      </c>
      <c r="B19">
        <v>0</v>
      </c>
      <c r="C19">
        <v>0</v>
      </c>
    </row>
    <row r="20" spans="1:3" x14ac:dyDescent="0.3">
      <c r="A20" t="s">
        <v>347</v>
      </c>
      <c r="B20">
        <v>-374282</v>
      </c>
      <c r="C20">
        <v>1642644</v>
      </c>
    </row>
    <row r="21" spans="1:3" x14ac:dyDescent="0.3">
      <c r="A21" t="s">
        <v>468</v>
      </c>
      <c r="B21">
        <v>0</v>
      </c>
      <c r="C21">
        <v>0</v>
      </c>
    </row>
    <row r="22" spans="1:3" x14ac:dyDescent="0.3">
      <c r="A22" t="s">
        <v>403</v>
      </c>
      <c r="B22">
        <v>4595</v>
      </c>
      <c r="C22">
        <v>264742</v>
      </c>
    </row>
    <row r="23" spans="1:3" x14ac:dyDescent="0.3">
      <c r="A23" t="s">
        <v>228</v>
      </c>
      <c r="B23">
        <v>0</v>
      </c>
      <c r="C23">
        <v>0</v>
      </c>
    </row>
    <row r="24" spans="1:3" x14ac:dyDescent="0.3">
      <c r="A24" t="s">
        <v>348</v>
      </c>
      <c r="B24">
        <v>0</v>
      </c>
      <c r="C24">
        <v>0</v>
      </c>
    </row>
    <row r="25" spans="1:3" x14ac:dyDescent="0.3">
      <c r="A25" t="s">
        <v>349</v>
      </c>
      <c r="B25">
        <v>0</v>
      </c>
      <c r="C25">
        <v>0</v>
      </c>
    </row>
    <row r="26" spans="1:3" x14ac:dyDescent="0.3">
      <c r="A26" t="s">
        <v>401</v>
      </c>
      <c r="B26">
        <v>0</v>
      </c>
      <c r="C26">
        <v>0</v>
      </c>
    </row>
    <row r="27" spans="1:3" x14ac:dyDescent="0.3">
      <c r="A27" t="s">
        <v>350</v>
      </c>
      <c r="B27">
        <v>-374282</v>
      </c>
      <c r="C27">
        <v>1642644</v>
      </c>
    </row>
    <row r="28" spans="1:3" x14ac:dyDescent="0.3">
      <c r="A28" t="s">
        <v>351</v>
      </c>
      <c r="B28">
        <v>0</v>
      </c>
      <c r="C28">
        <v>0</v>
      </c>
    </row>
    <row r="29" spans="1:3" x14ac:dyDescent="0.3">
      <c r="A29" t="s">
        <v>352</v>
      </c>
      <c r="B29">
        <v>0</v>
      </c>
      <c r="C29">
        <v>0</v>
      </c>
    </row>
    <row r="30" spans="1:3" x14ac:dyDescent="0.3">
      <c r="A30" t="s">
        <v>353</v>
      </c>
      <c r="B30">
        <v>-374282</v>
      </c>
      <c r="C30">
        <v>1642644</v>
      </c>
    </row>
    <row r="31" spans="1:3" x14ac:dyDescent="0.3">
      <c r="A31" t="s">
        <v>354</v>
      </c>
      <c r="B31">
        <v>0</v>
      </c>
      <c r="C31">
        <v>0</v>
      </c>
    </row>
    <row r="32" spans="1:3" x14ac:dyDescent="0.3">
      <c r="A32" t="s">
        <v>355</v>
      </c>
      <c r="B32">
        <v>0</v>
      </c>
      <c r="C32">
        <v>0</v>
      </c>
    </row>
    <row r="33" spans="1:3" x14ac:dyDescent="0.3">
      <c r="A33" t="s">
        <v>356</v>
      </c>
      <c r="B33">
        <v>0</v>
      </c>
      <c r="C33">
        <v>0</v>
      </c>
    </row>
    <row r="34" spans="1:3" x14ac:dyDescent="0.3">
      <c r="A34" t="s">
        <v>357</v>
      </c>
      <c r="B34">
        <v>0</v>
      </c>
      <c r="C34">
        <v>0</v>
      </c>
    </row>
    <row r="35" spans="1:3" x14ac:dyDescent="0.3">
      <c r="A35" t="s">
        <v>358</v>
      </c>
      <c r="B35">
        <v>-374282</v>
      </c>
      <c r="C35">
        <v>1642644</v>
      </c>
    </row>
  </sheetData>
  <pageMargins left="0.7" right="0.7" top="0.75" bottom="0.75" header="0.3" footer="0.3"/>
  <pageSetup orientation="portrait" useFirstPageNumber="1" horizontalDpi="4294967295" verticalDpi="429496729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40"/>
  <sheetViews>
    <sheetView zoomScaleNormal="100" workbookViewId="0">
      <selection sqref="A1:XFD1"/>
    </sheetView>
  </sheetViews>
  <sheetFormatPr defaultColWidth="42.33203125" defaultRowHeight="14.4" x14ac:dyDescent="0.3"/>
  <sheetData>
    <row r="1" spans="1:3" x14ac:dyDescent="0.3">
      <c r="A1" t="s">
        <v>446</v>
      </c>
      <c r="B1" t="s">
        <v>431</v>
      </c>
      <c r="C1" t="s">
        <v>432</v>
      </c>
    </row>
    <row r="2" spans="1:3" x14ac:dyDescent="0.3">
      <c r="A2" t="s">
        <v>359</v>
      </c>
      <c r="B2">
        <v>0</v>
      </c>
      <c r="C2">
        <v>0</v>
      </c>
    </row>
    <row r="3" spans="1:3" x14ac:dyDescent="0.3">
      <c r="A3" t="s">
        <v>15</v>
      </c>
      <c r="B3">
        <v>-334145</v>
      </c>
      <c r="C3">
        <v>1713482</v>
      </c>
    </row>
    <row r="4" spans="1:3" x14ac:dyDescent="0.3">
      <c r="A4" t="s">
        <v>360</v>
      </c>
      <c r="B4">
        <v>0</v>
      </c>
      <c r="C4">
        <v>0</v>
      </c>
    </row>
    <row r="5" spans="1:3" x14ac:dyDescent="0.3">
      <c r="A5" t="s">
        <v>361</v>
      </c>
      <c r="B5">
        <v>0</v>
      </c>
      <c r="C5">
        <v>0</v>
      </c>
    </row>
    <row r="6" spans="1:3" x14ac:dyDescent="0.3">
      <c r="A6" t="s">
        <v>362</v>
      </c>
      <c r="B6">
        <v>0</v>
      </c>
      <c r="C6">
        <v>0</v>
      </c>
    </row>
    <row r="7" spans="1:3" x14ac:dyDescent="0.3">
      <c r="A7" t="s">
        <v>363</v>
      </c>
      <c r="B7">
        <v>0</v>
      </c>
      <c r="C7">
        <v>0</v>
      </c>
    </row>
    <row r="8" spans="1:3" x14ac:dyDescent="0.3">
      <c r="A8" t="s">
        <v>364</v>
      </c>
      <c r="B8">
        <v>0</v>
      </c>
      <c r="C8">
        <v>0</v>
      </c>
    </row>
    <row r="9" spans="1:3" x14ac:dyDescent="0.3">
      <c r="A9" t="s">
        <v>365</v>
      </c>
      <c r="B9">
        <v>0</v>
      </c>
      <c r="C9">
        <v>0</v>
      </c>
    </row>
    <row r="10" spans="1:3" x14ac:dyDescent="0.3">
      <c r="A10" t="s">
        <v>366</v>
      </c>
      <c r="B10">
        <v>0</v>
      </c>
      <c r="C10">
        <v>0</v>
      </c>
    </row>
    <row r="11" spans="1:3" x14ac:dyDescent="0.3">
      <c r="A11" t="s">
        <v>367</v>
      </c>
      <c r="B11">
        <v>9337.3178082191789</v>
      </c>
      <c r="C11">
        <v>55245.172602739724</v>
      </c>
    </row>
    <row r="12" spans="1:3" x14ac:dyDescent="0.3">
      <c r="A12" t="s">
        <v>368</v>
      </c>
      <c r="B12">
        <v>0</v>
      </c>
      <c r="C12">
        <v>0</v>
      </c>
    </row>
    <row r="13" spans="1:3" x14ac:dyDescent="0.3">
      <c r="A13" t="s">
        <v>369</v>
      </c>
      <c r="B13">
        <v>0</v>
      </c>
      <c r="C13">
        <v>0</v>
      </c>
    </row>
    <row r="14" spans="1:3" x14ac:dyDescent="0.3">
      <c r="A14" t="s">
        <v>370</v>
      </c>
      <c r="B14">
        <v>10436.904109589041</v>
      </c>
      <c r="C14">
        <v>70236.838356164386</v>
      </c>
    </row>
    <row r="15" spans="1:3" x14ac:dyDescent="0.3">
      <c r="A15" t="s">
        <v>371</v>
      </c>
      <c r="B15">
        <v>850247</v>
      </c>
      <c r="C15">
        <v>1385654</v>
      </c>
    </row>
    <row r="16" spans="1:3" x14ac:dyDescent="0.3">
      <c r="A16" t="s">
        <v>372</v>
      </c>
      <c r="B16">
        <v>81.465441386859595</v>
      </c>
      <c r="C16">
        <v>19.728308284229414</v>
      </c>
    </row>
    <row r="17" spans="1:3" x14ac:dyDescent="0.3">
      <c r="A17" t="s">
        <v>373</v>
      </c>
      <c r="B17">
        <v>9337.3178082191789</v>
      </c>
      <c r="C17">
        <v>55245.172602739724</v>
      </c>
    </row>
    <row r="18" spans="1:3" x14ac:dyDescent="0.3">
      <c r="A18" t="s">
        <v>374</v>
      </c>
      <c r="B18">
        <v>1685</v>
      </c>
      <c r="C18">
        <v>1565508.5</v>
      </c>
    </row>
    <row r="19" spans="1:3" x14ac:dyDescent="0.3">
      <c r="A19" t="s">
        <v>375</v>
      </c>
      <c r="B19">
        <v>0.18045867502943702</v>
      </c>
      <c r="C19">
        <v>28.337471425012133</v>
      </c>
    </row>
    <row r="20" spans="1:3" x14ac:dyDescent="0.3">
      <c r="A20" t="s">
        <v>376</v>
      </c>
      <c r="B20">
        <v>81.284982711830153</v>
      </c>
      <c r="C20">
        <v>-8.6091631407827194</v>
      </c>
    </row>
    <row r="21" spans="1:3" x14ac:dyDescent="0.3">
      <c r="A21" t="s">
        <v>377</v>
      </c>
      <c r="B21">
        <v>0</v>
      </c>
      <c r="C21">
        <v>5.7296621314776068</v>
      </c>
    </row>
    <row r="22" spans="1:3" x14ac:dyDescent="0.3">
      <c r="A22" t="s">
        <v>378</v>
      </c>
      <c r="B22">
        <v>0</v>
      </c>
      <c r="C22">
        <v>12.633914622934155</v>
      </c>
    </row>
    <row r="23" spans="1:3" x14ac:dyDescent="0.3">
      <c r="A23" t="s">
        <v>379</v>
      </c>
      <c r="B23">
        <v>0.20481221797257887</v>
      </c>
      <c r="C23">
        <v>0.15969670679001294</v>
      </c>
    </row>
    <row r="24" spans="1:3" x14ac:dyDescent="0.3">
      <c r="A24" t="s">
        <v>380</v>
      </c>
      <c r="B24">
        <v>0</v>
      </c>
      <c r="C24">
        <v>-6.1279594188151849</v>
      </c>
    </row>
    <row r="25" spans="1:3" x14ac:dyDescent="0.3">
      <c r="A25" t="s">
        <v>381</v>
      </c>
      <c r="B25">
        <v>0.10535560064785915</v>
      </c>
      <c r="C25">
        <v>0.21344448446559247</v>
      </c>
    </row>
    <row r="26" spans="1:3" x14ac:dyDescent="0.3">
      <c r="A26" t="s">
        <v>382</v>
      </c>
      <c r="B26">
        <v>-9.8250412787080618E-2</v>
      </c>
      <c r="C26">
        <v>6.4074560100881375E-2</v>
      </c>
    </row>
    <row r="27" spans="1:3" x14ac:dyDescent="0.3">
      <c r="A27" t="s">
        <v>383</v>
      </c>
      <c r="B27">
        <v>-8.771430146450819E-2</v>
      </c>
      <c r="C27">
        <v>6.6837735620608255E-2</v>
      </c>
    </row>
    <row r="28" spans="1:3" x14ac:dyDescent="0.3">
      <c r="A28" t="s">
        <v>384</v>
      </c>
      <c r="B28">
        <v>-6.4825003043959981E-2</v>
      </c>
      <c r="C28">
        <v>0.24638764380914754</v>
      </c>
    </row>
    <row r="29" spans="1:3" x14ac:dyDescent="0.3">
      <c r="A29" t="s">
        <v>385</v>
      </c>
      <c r="B29">
        <v>-6.4825003043959981E-2</v>
      </c>
      <c r="C29">
        <v>0.2546066787901004</v>
      </c>
    </row>
    <row r="30" spans="1:3" x14ac:dyDescent="0.3">
      <c r="A30" t="s">
        <v>386</v>
      </c>
      <c r="B30">
        <v>0</v>
      </c>
      <c r="C30">
        <v>6.0372197480495556E-2</v>
      </c>
    </row>
    <row r="31" spans="1:3" x14ac:dyDescent="0.3">
      <c r="A31" t="s">
        <v>387</v>
      </c>
      <c r="B31">
        <v>0</v>
      </c>
      <c r="C31">
        <v>3.9958855931239649E-2</v>
      </c>
    </row>
    <row r="32" spans="1:3" x14ac:dyDescent="0.3">
      <c r="A32" t="s">
        <v>388</v>
      </c>
      <c r="B32">
        <v>0</v>
      </c>
      <c r="C32">
        <v>0</v>
      </c>
    </row>
    <row r="33" spans="1:3" x14ac:dyDescent="0.3">
      <c r="A33" t="s">
        <v>389</v>
      </c>
      <c r="B33">
        <v>0</v>
      </c>
      <c r="C33">
        <v>3.9808332539559004</v>
      </c>
    </row>
    <row r="34" spans="1:3" x14ac:dyDescent="0.3">
      <c r="A34" t="s">
        <v>390</v>
      </c>
      <c r="B34">
        <v>1</v>
      </c>
      <c r="C34">
        <v>1</v>
      </c>
    </row>
    <row r="35" spans="1:3" x14ac:dyDescent="0.3">
      <c r="A35" t="s">
        <v>391</v>
      </c>
      <c r="B35">
        <v>34.224167764262283</v>
      </c>
      <c r="C35">
        <v>1.8691335369149416</v>
      </c>
    </row>
    <row r="36" spans="1:3" x14ac:dyDescent="0.3">
      <c r="A36" t="s">
        <v>392</v>
      </c>
      <c r="B36">
        <v>34.224167764262283</v>
      </c>
      <c r="C36">
        <v>1.8691335369149416</v>
      </c>
    </row>
    <row r="37" spans="1:3" x14ac:dyDescent="0.3">
      <c r="A37" t="s">
        <v>393</v>
      </c>
      <c r="B37">
        <v>0.22133059209111478</v>
      </c>
      <c r="C37">
        <v>0.25914608418845136</v>
      </c>
    </row>
    <row r="38" spans="1:3" x14ac:dyDescent="0.3">
      <c r="A38" t="s">
        <v>394</v>
      </c>
      <c r="B38">
        <v>-4.2032877702173781E-2</v>
      </c>
      <c r="C38">
        <v>0.10319558146864459</v>
      </c>
    </row>
    <row r="39" spans="1:3" x14ac:dyDescent="0.3">
      <c r="A39" t="s">
        <v>395</v>
      </c>
      <c r="B39">
        <v>-6.4393156070159746E-2</v>
      </c>
      <c r="C39">
        <v>0.1524933612021272</v>
      </c>
    </row>
    <row r="40" spans="1:3" x14ac:dyDescent="0.3">
      <c r="A40" t="s">
        <v>396</v>
      </c>
      <c r="B40">
        <v>149.11105085095943</v>
      </c>
      <c r="C40">
        <v>1.9574872558136469</v>
      </c>
    </row>
  </sheetData>
  <pageMargins left="0.7" right="0.7" top="0.75" bottom="0.75" header="0.3" footer="0.3"/>
  <pageSetup orientation="portrait" useFirstPageNumber="1" horizontalDpi="4294967295" verticalDpi="429496729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401CF-3DDF-475C-82C6-39868686C463}">
  <sheetPr codeName="Sheet13"/>
  <dimension ref="A1"/>
  <sheetViews>
    <sheetView workbookViewId="0">
      <selection sqref="A1:XFD1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"/>
  <sheetViews>
    <sheetView zoomScaleNormal="100" workbookViewId="0">
      <selection sqref="A1:XFD1"/>
    </sheetView>
  </sheetViews>
  <sheetFormatPr defaultRowHeight="14.4" x14ac:dyDescent="0.3"/>
  <sheetData>
    <row r="1" spans="1:1" x14ac:dyDescent="0.3">
      <c r="A1" t="s">
        <v>469</v>
      </c>
    </row>
  </sheetData>
  <pageMargins left="0.7" right="0.7" top="0.75" bottom="0.75" header="0.3" footer="0.3"/>
  <pageSetup orientation="portrait" useFirstPageNumber="1" horizontalDpi="4294967295" verticalDpi="429496729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Menu</vt:lpstr>
      <vt:lpstr>Report Actual</vt:lpstr>
      <vt:lpstr>Lookups</vt:lpstr>
      <vt:lpstr>Report - About</vt:lpstr>
      <vt:lpstr>Report - Facilities</vt:lpstr>
      <vt:lpstr>Report - Period Rating Results</vt:lpstr>
      <vt:lpstr>Report - Financial Highlights</vt:lpstr>
      <vt:lpstr>Report - Model Drivers</vt:lpstr>
      <vt:lpstr>Report - Balance Sheet</vt:lpstr>
      <vt:lpstr>Report - Income Statement</vt:lpstr>
      <vt:lpstr>Report - Financial Ratios</vt:lpstr>
      <vt:lpstr>Report - LGD Summary</vt:lpstr>
      <vt:lpstr>Report - Comments</vt:lpstr>
      <vt:lpstr>'Report Actual'!Print_Area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2020-11-08T04:45:28Z</dcterms:created>
  <dcterms:modified xsi:type="dcterms:W3CDTF">2025-11-11T08:48:40Z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0db10-e709-487f-ae41-6bf8dd8aef5a_Enabled">
    <vt:lpwstr>true</vt:lpwstr>
  </property>
  <property fmtid="{D5CDD505-2E9C-101B-9397-08002B2CF9AE}" pid="3" name="MSIP_Label_8ae0db10-e709-487f-ae41-6bf8dd8aef5a_SetDate">
    <vt:lpwstr>2025-11-11T08:32:27Z</vt:lpwstr>
  </property>
  <property fmtid="{D5CDD505-2E9C-101B-9397-08002B2CF9AE}" pid="4" name="MSIP_Label_8ae0db10-e709-487f-ae41-6bf8dd8aef5a_Method">
    <vt:lpwstr>Standard</vt:lpwstr>
  </property>
  <property fmtid="{D5CDD505-2E9C-101B-9397-08002B2CF9AE}" pid="5" name="MSIP_Label_8ae0db10-e709-487f-ae41-6bf8dd8aef5a_Name">
    <vt:lpwstr>Protected</vt:lpwstr>
  </property>
  <property fmtid="{D5CDD505-2E9C-101B-9397-08002B2CF9AE}" pid="6" name="MSIP_Label_8ae0db10-e709-487f-ae41-6bf8dd8aef5a_SiteId">
    <vt:lpwstr>83c00b50-01aa-42f2-814b-5d27ec0dddda</vt:lpwstr>
  </property>
  <property fmtid="{D5CDD505-2E9C-101B-9397-08002B2CF9AE}" pid="7" name="MSIP_Label_8ae0db10-e709-487f-ae41-6bf8dd8aef5a_ActionId">
    <vt:lpwstr>ab0fc689-a8ae-4bf0-9cc6-9226d3384271</vt:lpwstr>
  </property>
  <property fmtid="{D5CDD505-2E9C-101B-9397-08002B2CF9AE}" pid="8" name="MSIP_Label_8ae0db10-e709-487f-ae41-6bf8dd8aef5a_ContentBits">
    <vt:lpwstr>0</vt:lpwstr>
  </property>
  <property fmtid="{D5CDD505-2E9C-101B-9397-08002B2CF9AE}" pid="9" name="MSIP_Label_8ae0db10-e709-487f-ae41-6bf8dd8aef5a_Tag">
    <vt:lpwstr>10, 3, 0, 1</vt:lpwstr>
  </property>
</Properties>
</file>